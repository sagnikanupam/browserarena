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sagnikanupam/browserarena/data/"/>
    </mc:Choice>
  </mc:AlternateContent>
  <xr:revisionPtr revIDLastSave="0" documentId="13_ncr:1_{4DA8F7D0-D3FA-164D-8B61-D5716334AD8B}" xr6:coauthVersionLast="47" xr6:coauthVersionMax="47" xr10:uidLastSave="{00000000-0000-0000-0000-000000000000}"/>
  <bookViews>
    <workbookView xWindow="12160" yWindow="760" windowWidth="22400" windowHeight="21580" xr2:uid="{00000000-000D-0000-FFFF-FFFF00000000}"/>
  </bookViews>
  <sheets>
    <sheet name="ProlificBrowserArenaGIFFeedbac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1" l="1"/>
  <c r="BS4" i="1"/>
  <c r="BS5" i="1"/>
  <c r="BS6" i="1"/>
  <c r="BS7" i="1"/>
  <c r="BS8" i="1"/>
  <c r="BS9" i="1"/>
  <c r="BS10" i="1"/>
  <c r="BS11" i="1"/>
  <c r="BS12" i="1"/>
  <c r="BS13" i="1"/>
  <c r="BS14" i="1"/>
  <c r="BS15" i="1"/>
  <c r="BS16" i="1"/>
  <c r="BS17" i="1"/>
  <c r="BS18" i="1"/>
  <c r="BS19" i="1"/>
  <c r="BS20" i="1"/>
  <c r="BS21" i="1"/>
  <c r="BS22" i="1"/>
  <c r="BS23" i="1"/>
  <c r="BS24" i="1"/>
  <c r="BS25" i="1"/>
  <c r="BS26" i="1"/>
  <c r="BS27" i="1"/>
  <c r="BS28" i="1"/>
  <c r="BS29" i="1"/>
  <c r="BS30" i="1"/>
  <c r="BS31" i="1"/>
  <c r="BS32" i="1"/>
  <c r="BS33" i="1"/>
  <c r="BS34" i="1"/>
  <c r="BS35" i="1"/>
  <c r="BS36" i="1"/>
  <c r="BS37" i="1"/>
  <c r="BS38" i="1"/>
  <c r="BS39" i="1"/>
  <c r="BS40" i="1"/>
  <c r="BS41" i="1"/>
  <c r="BS42" i="1"/>
  <c r="BS43" i="1"/>
  <c r="BS44" i="1"/>
  <c r="BS45" i="1"/>
  <c r="BS46" i="1"/>
  <c r="BS47" i="1"/>
  <c r="BS48" i="1"/>
  <c r="BS49" i="1"/>
  <c r="BS50" i="1"/>
  <c r="BS51" i="1"/>
  <c r="BS52" i="1"/>
  <c r="BS53" i="1"/>
  <c r="BS54" i="1"/>
  <c r="BS55" i="1"/>
  <c r="BS56" i="1"/>
  <c r="BS57" i="1"/>
  <c r="BS58" i="1"/>
  <c r="BS59" i="1"/>
  <c r="BS60" i="1"/>
  <c r="BS61" i="1"/>
  <c r="BS62" i="1"/>
  <c r="BS63" i="1"/>
  <c r="BS64" i="1"/>
  <c r="BS65" i="1"/>
  <c r="BS66" i="1"/>
  <c r="BS67" i="1"/>
  <c r="BS68" i="1"/>
  <c r="BS69" i="1"/>
  <c r="BS70" i="1"/>
  <c r="BS71" i="1"/>
  <c r="BS72" i="1"/>
  <c r="BS73" i="1"/>
  <c r="BS74" i="1"/>
  <c r="BS75" i="1"/>
  <c r="BS76" i="1"/>
  <c r="BS77" i="1"/>
  <c r="BS78" i="1"/>
  <c r="BS79" i="1"/>
  <c r="BS80" i="1"/>
  <c r="BS81" i="1"/>
  <c r="BS82" i="1"/>
  <c r="BS83" i="1"/>
  <c r="BS84" i="1"/>
  <c r="BS85" i="1"/>
  <c r="BS86" i="1"/>
  <c r="BS87" i="1"/>
  <c r="BS88" i="1"/>
  <c r="BS89" i="1"/>
  <c r="BS90" i="1"/>
  <c r="BS91" i="1"/>
  <c r="BS92" i="1"/>
  <c r="BS93" i="1"/>
  <c r="BS94" i="1"/>
  <c r="BS95" i="1"/>
  <c r="BS96" i="1"/>
  <c r="BS97" i="1"/>
  <c r="BS98" i="1"/>
  <c r="BS99" i="1"/>
  <c r="BS100" i="1"/>
  <c r="BS101" i="1"/>
  <c r="BS102" i="1"/>
  <c r="BS103" i="1"/>
  <c r="BS2" i="1"/>
  <c r="BR2" i="1"/>
  <c r="BR3" i="1"/>
  <c r="BR4" i="1"/>
  <c r="BR5" i="1"/>
  <c r="BR6" i="1"/>
  <c r="BR7" i="1"/>
  <c r="BR8" i="1"/>
  <c r="BR9" i="1"/>
  <c r="BR10" i="1"/>
  <c r="BR11" i="1"/>
  <c r="BR12" i="1"/>
  <c r="BR13" i="1"/>
  <c r="BR14" i="1"/>
  <c r="BR15" i="1"/>
  <c r="BR16" i="1"/>
  <c r="BR17" i="1"/>
  <c r="BR18" i="1"/>
  <c r="BR19" i="1"/>
  <c r="BR20" i="1"/>
  <c r="BR21" i="1"/>
  <c r="BR22" i="1"/>
  <c r="BR23" i="1"/>
  <c r="BR24" i="1"/>
  <c r="BR25" i="1"/>
  <c r="BR26" i="1"/>
  <c r="BR27" i="1"/>
  <c r="BR28" i="1"/>
  <c r="BR29" i="1"/>
  <c r="BR30" i="1"/>
  <c r="BR31" i="1"/>
  <c r="BR32" i="1"/>
  <c r="BR33" i="1"/>
  <c r="BR34" i="1"/>
  <c r="BR35" i="1"/>
  <c r="BR36" i="1"/>
  <c r="BR37" i="1"/>
  <c r="BR38" i="1"/>
  <c r="BR40" i="1"/>
  <c r="BR41" i="1"/>
  <c r="BR42" i="1"/>
  <c r="BR43" i="1"/>
  <c r="BR44" i="1"/>
  <c r="BR45" i="1"/>
  <c r="BR46" i="1"/>
  <c r="BR47" i="1"/>
  <c r="BR48" i="1"/>
  <c r="BR49" i="1"/>
  <c r="BR50" i="1"/>
  <c r="BR51" i="1"/>
  <c r="BR52" i="1"/>
  <c r="BR53" i="1"/>
  <c r="BR54" i="1"/>
  <c r="BR55" i="1"/>
  <c r="BR56" i="1"/>
  <c r="BR57" i="1"/>
  <c r="BR58" i="1"/>
  <c r="BR59" i="1"/>
  <c r="BR60" i="1"/>
  <c r="BR61" i="1"/>
  <c r="BR62" i="1"/>
  <c r="BR63" i="1"/>
  <c r="BR64" i="1"/>
  <c r="BR65" i="1"/>
  <c r="BR66" i="1"/>
  <c r="BR67" i="1"/>
  <c r="BR68" i="1"/>
  <c r="BR69" i="1"/>
  <c r="BR70" i="1"/>
  <c r="BR71" i="1"/>
  <c r="BR72" i="1"/>
  <c r="BR73" i="1"/>
  <c r="BR74" i="1"/>
  <c r="BR75" i="1"/>
  <c r="BR76" i="1"/>
  <c r="BR77" i="1"/>
  <c r="BR78" i="1"/>
  <c r="BR79" i="1"/>
  <c r="BR80" i="1"/>
  <c r="BR81" i="1"/>
  <c r="BR82" i="1"/>
  <c r="BR83" i="1"/>
  <c r="BR84" i="1"/>
  <c r="BR85" i="1"/>
  <c r="BR86" i="1"/>
  <c r="BR87" i="1"/>
  <c r="BR88" i="1"/>
  <c r="BR89" i="1"/>
  <c r="BR90" i="1"/>
  <c r="BR91" i="1"/>
  <c r="BR92" i="1"/>
  <c r="BR93" i="1"/>
  <c r="BR94" i="1"/>
  <c r="BR95" i="1"/>
  <c r="BR96" i="1"/>
  <c r="BR97" i="1"/>
  <c r="BR98" i="1"/>
  <c r="BR99" i="1"/>
  <c r="BR100" i="1"/>
  <c r="BR101" i="1"/>
  <c r="BR102" i="1"/>
  <c r="BR103" i="1"/>
  <c r="BK77" i="1"/>
  <c r="BO77" i="1" s="1"/>
  <c r="BJ22" i="1"/>
  <c r="BN22" i="1" s="1"/>
  <c r="BP89" i="1"/>
  <c r="BO7" i="1"/>
  <c r="BO8" i="1"/>
  <c r="BO9" i="1"/>
  <c r="BO17" i="1"/>
  <c r="BO18" i="1"/>
  <c r="BO19" i="1"/>
  <c r="BO27" i="1"/>
  <c r="BO28" i="1"/>
  <c r="BO29" i="1"/>
  <c r="BO44" i="1"/>
  <c r="BO45" i="1"/>
  <c r="BO46" i="1"/>
  <c r="BO47" i="1"/>
  <c r="BO55" i="1"/>
  <c r="BO56" i="1"/>
  <c r="BO57" i="1"/>
  <c r="BP57" i="1" s="1"/>
  <c r="BO61" i="1"/>
  <c r="BO63" i="1"/>
  <c r="BO67" i="1"/>
  <c r="BO73" i="1"/>
  <c r="BO74" i="1"/>
  <c r="BO88" i="1"/>
  <c r="BO89" i="1"/>
  <c r="BO91" i="1"/>
  <c r="BO96" i="1"/>
  <c r="BO98" i="1"/>
  <c r="BO103" i="1"/>
  <c r="BN11" i="1"/>
  <c r="BN12" i="1"/>
  <c r="BN21" i="1"/>
  <c r="BN35" i="1"/>
  <c r="BP35" i="1" s="1"/>
  <c r="BN36" i="1"/>
  <c r="BN41" i="1"/>
  <c r="BN54" i="1"/>
  <c r="BN55" i="1"/>
  <c r="BP55" i="1" s="1"/>
  <c r="BN56" i="1"/>
  <c r="BP56" i="1" s="1"/>
  <c r="BN57" i="1"/>
  <c r="BN64" i="1"/>
  <c r="BN65" i="1"/>
  <c r="BN66" i="1"/>
  <c r="BP66" i="1" s="1"/>
  <c r="BN71" i="1"/>
  <c r="BN74" i="1"/>
  <c r="BP74" i="1" s="1"/>
  <c r="BN81" i="1"/>
  <c r="BN82" i="1"/>
  <c r="BN83" i="1"/>
  <c r="BN89" i="1"/>
  <c r="BN91" i="1"/>
  <c r="BP91" i="1" s="1"/>
  <c r="BN96" i="1"/>
  <c r="BP96" i="1" s="1"/>
  <c r="BN102" i="1"/>
  <c r="BP102" i="1" s="1"/>
  <c r="BN103" i="1"/>
  <c r="BP103" i="1" s="1"/>
  <c r="BN2" i="1"/>
  <c r="BP2" i="1" s="1"/>
  <c r="BK100" i="1"/>
  <c r="BO100" i="1" s="1"/>
  <c r="BK101" i="1"/>
  <c r="BO101" i="1" s="1"/>
  <c r="BK102" i="1"/>
  <c r="BO102" i="1" s="1"/>
  <c r="BK103" i="1"/>
  <c r="BK96" i="1"/>
  <c r="BK97" i="1"/>
  <c r="BO97" i="1" s="1"/>
  <c r="BK98" i="1"/>
  <c r="BK99" i="1"/>
  <c r="BO99" i="1" s="1"/>
  <c r="BK92" i="1"/>
  <c r="BO92" i="1" s="1"/>
  <c r="BK93" i="1"/>
  <c r="BO93" i="1" s="1"/>
  <c r="BK94" i="1"/>
  <c r="BO94" i="1" s="1"/>
  <c r="BK95" i="1"/>
  <c r="BO95" i="1" s="1"/>
  <c r="BK88" i="1"/>
  <c r="BK89" i="1"/>
  <c r="BK90" i="1"/>
  <c r="BO90" i="1" s="1"/>
  <c r="BK91" i="1"/>
  <c r="BK83" i="1"/>
  <c r="BO83" i="1" s="1"/>
  <c r="BK84" i="1"/>
  <c r="BO84" i="1" s="1"/>
  <c r="BK85" i="1"/>
  <c r="BO85" i="1" s="1"/>
  <c r="BK86" i="1"/>
  <c r="BO86" i="1" s="1"/>
  <c r="BK87" i="1"/>
  <c r="BO87" i="1" s="1"/>
  <c r="BK78" i="1"/>
  <c r="BO78" i="1" s="1"/>
  <c r="BK79" i="1"/>
  <c r="BO79" i="1" s="1"/>
  <c r="BK80" i="1"/>
  <c r="BO80" i="1" s="1"/>
  <c r="BK81" i="1"/>
  <c r="BO81" i="1" s="1"/>
  <c r="BK82" i="1"/>
  <c r="BO82" i="1" s="1"/>
  <c r="BK74" i="1"/>
  <c r="BK75" i="1"/>
  <c r="BO75" i="1" s="1"/>
  <c r="BK76" i="1"/>
  <c r="BO76" i="1" s="1"/>
  <c r="BK70" i="1"/>
  <c r="BO70" i="1" s="1"/>
  <c r="BK71" i="1"/>
  <c r="BO71" i="1" s="1"/>
  <c r="BK72" i="1"/>
  <c r="BO72" i="1" s="1"/>
  <c r="BK73" i="1"/>
  <c r="BK62" i="1"/>
  <c r="BO62" i="1" s="1"/>
  <c r="BK63" i="1"/>
  <c r="BK64" i="1"/>
  <c r="BO64" i="1" s="1"/>
  <c r="BK65" i="1"/>
  <c r="BO65" i="1" s="1"/>
  <c r="BK66" i="1"/>
  <c r="BO66" i="1" s="1"/>
  <c r="BK67" i="1"/>
  <c r="BK68" i="1"/>
  <c r="BO68" i="1" s="1"/>
  <c r="BK69" i="1"/>
  <c r="BO69" i="1" s="1"/>
  <c r="BK60" i="1"/>
  <c r="BO60" i="1" s="1"/>
  <c r="BK61" i="1"/>
  <c r="BK55" i="1"/>
  <c r="BK56" i="1"/>
  <c r="BK57" i="1"/>
  <c r="BK58" i="1"/>
  <c r="BO58" i="1" s="1"/>
  <c r="BK59" i="1"/>
  <c r="BO59" i="1" s="1"/>
  <c r="BK50" i="1"/>
  <c r="BO50" i="1" s="1"/>
  <c r="BK51" i="1"/>
  <c r="BO51" i="1" s="1"/>
  <c r="BK52" i="1"/>
  <c r="BO52" i="1" s="1"/>
  <c r="BK53" i="1"/>
  <c r="BO53" i="1" s="1"/>
  <c r="BK54" i="1"/>
  <c r="BO54" i="1" s="1"/>
  <c r="BK46" i="1"/>
  <c r="BK47" i="1"/>
  <c r="BK48" i="1"/>
  <c r="BO48" i="1" s="1"/>
  <c r="BK49" i="1"/>
  <c r="BO49" i="1" s="1"/>
  <c r="BK39" i="1"/>
  <c r="BO39" i="1" s="1"/>
  <c r="BK40" i="1"/>
  <c r="BO40" i="1" s="1"/>
  <c r="BK41" i="1"/>
  <c r="BO41" i="1" s="1"/>
  <c r="BK42" i="1"/>
  <c r="BO42" i="1" s="1"/>
  <c r="BK43" i="1"/>
  <c r="BO43" i="1" s="1"/>
  <c r="BK44" i="1"/>
  <c r="BK45" i="1"/>
  <c r="BK32" i="1"/>
  <c r="BO32" i="1" s="1"/>
  <c r="BK33" i="1"/>
  <c r="BO33" i="1" s="1"/>
  <c r="BK34" i="1"/>
  <c r="BO34" i="1" s="1"/>
  <c r="BK35" i="1"/>
  <c r="BO35" i="1" s="1"/>
  <c r="BK36" i="1"/>
  <c r="BO36" i="1" s="1"/>
  <c r="BK37" i="1"/>
  <c r="BO37" i="1" s="1"/>
  <c r="BK38" i="1"/>
  <c r="BO38" i="1" s="1"/>
  <c r="BK27" i="1"/>
  <c r="BK28" i="1"/>
  <c r="BK29" i="1"/>
  <c r="BK30" i="1"/>
  <c r="BO30" i="1" s="1"/>
  <c r="BK31" i="1"/>
  <c r="BO31" i="1" s="1"/>
  <c r="BK22" i="1"/>
  <c r="BO22" i="1" s="1"/>
  <c r="BK23" i="1"/>
  <c r="BO23" i="1" s="1"/>
  <c r="BK24" i="1"/>
  <c r="BO24" i="1" s="1"/>
  <c r="BK25" i="1"/>
  <c r="BO25" i="1" s="1"/>
  <c r="BK26" i="1"/>
  <c r="BO26" i="1" s="1"/>
  <c r="BK17" i="1"/>
  <c r="BK18" i="1"/>
  <c r="BK19" i="1"/>
  <c r="BK20" i="1"/>
  <c r="BO20" i="1" s="1"/>
  <c r="BK21" i="1"/>
  <c r="BO21" i="1" s="1"/>
  <c r="BK12" i="1"/>
  <c r="BO12" i="1" s="1"/>
  <c r="BK13" i="1"/>
  <c r="BO13" i="1" s="1"/>
  <c r="BK14" i="1"/>
  <c r="BO14" i="1" s="1"/>
  <c r="BK15" i="1"/>
  <c r="BO15" i="1" s="1"/>
  <c r="BK16" i="1"/>
  <c r="BO16" i="1" s="1"/>
  <c r="BK7" i="1"/>
  <c r="BK8" i="1"/>
  <c r="BK9" i="1"/>
  <c r="BK10" i="1"/>
  <c r="BO10" i="1" s="1"/>
  <c r="BK11" i="1"/>
  <c r="BO11" i="1" s="1"/>
  <c r="BK4" i="1"/>
  <c r="BO4" i="1" s="1"/>
  <c r="BK5" i="1"/>
  <c r="BO5" i="1" s="1"/>
  <c r="BK6" i="1"/>
  <c r="BO6" i="1" s="1"/>
  <c r="BK3" i="1"/>
  <c r="BO3" i="1" s="1"/>
  <c r="BK2" i="1"/>
  <c r="BO2" i="1" s="1"/>
  <c r="BJ102" i="1"/>
  <c r="BJ103" i="1"/>
  <c r="BJ97" i="1"/>
  <c r="BN97" i="1" s="1"/>
  <c r="BJ98" i="1"/>
  <c r="BN98" i="1" s="1"/>
  <c r="BP98" i="1" s="1"/>
  <c r="BJ99" i="1"/>
  <c r="BN99" i="1" s="1"/>
  <c r="BJ100" i="1"/>
  <c r="BN100" i="1" s="1"/>
  <c r="BP100" i="1" s="1"/>
  <c r="BJ101" i="1"/>
  <c r="BN101" i="1" s="1"/>
  <c r="BJ93" i="1"/>
  <c r="BN93" i="1" s="1"/>
  <c r="BP93" i="1" s="1"/>
  <c r="BJ94" i="1"/>
  <c r="BN94" i="1" s="1"/>
  <c r="BP94" i="1" s="1"/>
  <c r="BJ95" i="1"/>
  <c r="BN95" i="1" s="1"/>
  <c r="BP95" i="1" s="1"/>
  <c r="BJ96" i="1"/>
  <c r="BJ90" i="1"/>
  <c r="BN90" i="1" s="1"/>
  <c r="BP90" i="1" s="1"/>
  <c r="BJ91" i="1"/>
  <c r="BJ92" i="1"/>
  <c r="BN92" i="1" s="1"/>
  <c r="BP92" i="1" s="1"/>
  <c r="BJ88" i="1"/>
  <c r="BN88" i="1" s="1"/>
  <c r="BP88" i="1" s="1"/>
  <c r="BJ87" i="1"/>
  <c r="BN87" i="1" s="1"/>
  <c r="BP87" i="1" s="1"/>
  <c r="BJ84" i="1"/>
  <c r="BN84" i="1" s="1"/>
  <c r="BP84" i="1" s="1"/>
  <c r="BJ85" i="1"/>
  <c r="BN85" i="1" s="1"/>
  <c r="BP85" i="1" s="1"/>
  <c r="BJ86" i="1"/>
  <c r="BN86" i="1" s="1"/>
  <c r="BJ80" i="1"/>
  <c r="BN80" i="1" s="1"/>
  <c r="BP80" i="1" s="1"/>
  <c r="BJ81" i="1"/>
  <c r="BJ82" i="1"/>
  <c r="BJ83" i="1"/>
  <c r="BJ75" i="1"/>
  <c r="BN75" i="1" s="1"/>
  <c r="BJ76" i="1"/>
  <c r="BN76" i="1" s="1"/>
  <c r="BP76" i="1" s="1"/>
  <c r="BJ77" i="1"/>
  <c r="BN77" i="1" s="1"/>
  <c r="BJ78" i="1"/>
  <c r="BN78" i="1" s="1"/>
  <c r="BP78" i="1" s="1"/>
  <c r="BJ79" i="1"/>
  <c r="BN79" i="1" s="1"/>
  <c r="BP79" i="1" s="1"/>
  <c r="BJ72" i="1"/>
  <c r="BN72" i="1" s="1"/>
  <c r="BJ73" i="1"/>
  <c r="BN73" i="1" s="1"/>
  <c r="BP73" i="1" s="1"/>
  <c r="BJ74" i="1"/>
  <c r="BJ71" i="1"/>
  <c r="BJ66" i="1"/>
  <c r="BJ67" i="1"/>
  <c r="BN67" i="1" s="1"/>
  <c r="BP67" i="1" s="1"/>
  <c r="BJ68" i="1"/>
  <c r="BN68" i="1" s="1"/>
  <c r="BP68" i="1" s="1"/>
  <c r="BJ69" i="1"/>
  <c r="BN69" i="1" s="1"/>
  <c r="BP69" i="1" s="1"/>
  <c r="BJ70" i="1"/>
  <c r="BN70" i="1" s="1"/>
  <c r="BJ62" i="1"/>
  <c r="BN62" i="1" s="1"/>
  <c r="BP62" i="1" s="1"/>
  <c r="BJ63" i="1"/>
  <c r="BN63" i="1" s="1"/>
  <c r="BP63" i="1" s="1"/>
  <c r="BJ64" i="1"/>
  <c r="BJ65" i="1"/>
  <c r="BJ57" i="1"/>
  <c r="BJ58" i="1"/>
  <c r="BN58" i="1" s="1"/>
  <c r="BJ59" i="1"/>
  <c r="BN59" i="1" s="1"/>
  <c r="BP59" i="1" s="1"/>
  <c r="BJ60" i="1"/>
  <c r="BN60" i="1" s="1"/>
  <c r="BP60" i="1" s="1"/>
  <c r="BJ61" i="1"/>
  <c r="BN61" i="1" s="1"/>
  <c r="BP61" i="1" s="1"/>
  <c r="BJ50" i="1"/>
  <c r="BN50" i="1" s="1"/>
  <c r="BJ51" i="1"/>
  <c r="BN51" i="1" s="1"/>
  <c r="BP51" i="1" s="1"/>
  <c r="BJ52" i="1"/>
  <c r="BN52" i="1" s="1"/>
  <c r="BP52" i="1" s="1"/>
  <c r="BJ53" i="1"/>
  <c r="BN53" i="1" s="1"/>
  <c r="BJ54" i="1"/>
  <c r="BJ55" i="1"/>
  <c r="BJ56" i="1"/>
  <c r="BJ47" i="1"/>
  <c r="BN47" i="1" s="1"/>
  <c r="BP47" i="1" s="1"/>
  <c r="BJ48" i="1"/>
  <c r="BN48" i="1" s="1"/>
  <c r="BJ49" i="1"/>
  <c r="BN49" i="1" s="1"/>
  <c r="BJ45" i="1"/>
  <c r="BN45" i="1" s="1"/>
  <c r="BP45" i="1" s="1"/>
  <c r="BJ46" i="1"/>
  <c r="BN46" i="1" s="1"/>
  <c r="BP46" i="1" s="1"/>
  <c r="BJ37" i="1"/>
  <c r="BN37" i="1" s="1"/>
  <c r="BJ38" i="1"/>
  <c r="BN38" i="1" s="1"/>
  <c r="BJ39" i="1"/>
  <c r="BN39" i="1" s="1"/>
  <c r="BJ40" i="1"/>
  <c r="BN40" i="1" s="1"/>
  <c r="BJ41" i="1"/>
  <c r="BJ42" i="1"/>
  <c r="BN42" i="1" s="1"/>
  <c r="BP42" i="1" s="1"/>
  <c r="BJ43" i="1"/>
  <c r="BN43" i="1" s="1"/>
  <c r="BP43" i="1" s="1"/>
  <c r="BJ44" i="1"/>
  <c r="BN44" i="1" s="1"/>
  <c r="BP44" i="1" s="1"/>
  <c r="BJ31" i="1"/>
  <c r="BN31" i="1" s="1"/>
  <c r="BP31" i="1" s="1"/>
  <c r="BJ32" i="1"/>
  <c r="BN32" i="1" s="1"/>
  <c r="BJ33" i="1"/>
  <c r="BN33" i="1" s="1"/>
  <c r="BP33" i="1" s="1"/>
  <c r="BJ34" i="1"/>
  <c r="BN34" i="1" s="1"/>
  <c r="BJ35" i="1"/>
  <c r="BJ36" i="1"/>
  <c r="BJ27" i="1"/>
  <c r="BN27" i="1" s="1"/>
  <c r="BP27" i="1" s="1"/>
  <c r="BJ28" i="1"/>
  <c r="BN28" i="1" s="1"/>
  <c r="BP28" i="1" s="1"/>
  <c r="BJ29" i="1"/>
  <c r="BN29" i="1" s="1"/>
  <c r="BP29" i="1" s="1"/>
  <c r="BJ30" i="1"/>
  <c r="BN30" i="1" s="1"/>
  <c r="BP30" i="1" s="1"/>
  <c r="BJ23" i="1"/>
  <c r="BN23" i="1" s="1"/>
  <c r="BJ24" i="1"/>
  <c r="BN24" i="1" s="1"/>
  <c r="BJ25" i="1"/>
  <c r="BN25" i="1" s="1"/>
  <c r="BP25" i="1" s="1"/>
  <c r="BJ26" i="1"/>
  <c r="BN26" i="1" s="1"/>
  <c r="BJ21" i="1"/>
  <c r="BJ18" i="1"/>
  <c r="BN18" i="1" s="1"/>
  <c r="BP18" i="1" s="1"/>
  <c r="BJ19" i="1"/>
  <c r="BN19" i="1" s="1"/>
  <c r="BP19" i="1" s="1"/>
  <c r="BJ20" i="1"/>
  <c r="BN20" i="1" s="1"/>
  <c r="BJ15" i="1"/>
  <c r="BN15" i="1" s="1"/>
  <c r="BP15" i="1" s="1"/>
  <c r="BJ16" i="1"/>
  <c r="BN16" i="1" s="1"/>
  <c r="BP16" i="1" s="1"/>
  <c r="BJ17" i="1"/>
  <c r="BN17" i="1" s="1"/>
  <c r="BP17" i="1" s="1"/>
  <c r="BJ13" i="1"/>
  <c r="BN13" i="1" s="1"/>
  <c r="BP13" i="1" s="1"/>
  <c r="BJ14" i="1"/>
  <c r="BN14" i="1" s="1"/>
  <c r="BJ12" i="1"/>
  <c r="BJ11" i="1"/>
  <c r="BJ10" i="1"/>
  <c r="BN10" i="1" s="1"/>
  <c r="BP10" i="1" s="1"/>
  <c r="BJ9" i="1"/>
  <c r="BN9" i="1" s="1"/>
  <c r="BP9" i="1" s="1"/>
  <c r="BJ8" i="1"/>
  <c r="BN8" i="1" s="1"/>
  <c r="BP8" i="1" s="1"/>
  <c r="BJ7" i="1"/>
  <c r="BN7" i="1" s="1"/>
  <c r="BP7" i="1" s="1"/>
  <c r="BJ6" i="1"/>
  <c r="BN6" i="1" s="1"/>
  <c r="BP6" i="1" s="1"/>
  <c r="BJ5" i="1"/>
  <c r="BN5" i="1" s="1"/>
  <c r="BJ4" i="1"/>
  <c r="BN4" i="1" s="1"/>
  <c r="BJ3" i="1"/>
  <c r="BN3" i="1" s="1"/>
  <c r="BP3" i="1" s="1"/>
  <c r="BJ2" i="1"/>
  <c r="BR39" i="1" l="1"/>
  <c r="BP101" i="1"/>
  <c r="BP97" i="1"/>
  <c r="BP77" i="1"/>
  <c r="BP75" i="1"/>
  <c r="BP72" i="1"/>
  <c r="BP71" i="1"/>
  <c r="BP70" i="1"/>
  <c r="BP54" i="1"/>
  <c r="BP53" i="1"/>
  <c r="BP50" i="1"/>
  <c r="BP48" i="1"/>
  <c r="BP37" i="1"/>
  <c r="BP32" i="1"/>
  <c r="BP26" i="1"/>
  <c r="BP23" i="1"/>
  <c r="BP20" i="1"/>
  <c r="BP5" i="1"/>
  <c r="BP49" i="1"/>
  <c r="BP41" i="1"/>
  <c r="BP36" i="1"/>
  <c r="BP99" i="1"/>
  <c r="BP22" i="1"/>
  <c r="BP40" i="1"/>
  <c r="BP65" i="1"/>
  <c r="BP21" i="1"/>
  <c r="BP39" i="1"/>
  <c r="BP64" i="1"/>
  <c r="BP12" i="1"/>
  <c r="BP58" i="1"/>
  <c r="BP14" i="1"/>
  <c r="BP34" i="1"/>
  <c r="BP38" i="1"/>
  <c r="BP83" i="1"/>
  <c r="BP11" i="1"/>
  <c r="BP4" i="1"/>
  <c r="BP86" i="1"/>
  <c r="BP82" i="1"/>
  <c r="BP24" i="1"/>
  <c r="BP81" i="1"/>
</calcChain>
</file>

<file path=xl/sharedStrings.xml><?xml version="1.0" encoding="utf-8"?>
<sst xmlns="http://schemas.openxmlformats.org/spreadsheetml/2006/main" count="4801" uniqueCount="808">
  <si>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</si>
  <si>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</si>
  <si>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</si>
  <si>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</si>
  <si>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</si>
  <si>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</si>
  <si>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</si>
  <si>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</si>
  <si>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</si>
  <si>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</si>
  <si>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</si>
  <si>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</si>
  <si>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</si>
  <si>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</si>
  <si>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</si>
  <si>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</si>
  <si>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</si>
  <si>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t>
  </si>
  <si>
    <t>Q2</t>
  </si>
  <si>
    <t>Q3</t>
  </si>
  <si>
    <t>Q4</t>
  </si>
  <si>
    <t>Q52</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</si>
  <si>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</si>
  <si>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</si>
  <si>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</si>
  <si>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</si>
  <si>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</si>
  <si>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</si>
  <si>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</si>
  <si>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</si>
  <si>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</si>
  <si>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</si>
  <si>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</si>
  <si>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</si>
  <si>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</si>
  <si>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</si>
  <si>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</si>
  <si>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</si>
  <si>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</si>
  <si>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</si>
  <si>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</si>
  <si>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</si>
  <si>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</si>
  <si>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</si>
  <si>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</si>
  <si>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</si>
  <si>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</si>
  <si>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</si>
  <si>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</si>
  <si>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</si>
  <si>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</si>
  <si>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</si>
  <si>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</si>
  <si>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</si>
  <si>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</si>
  <si>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</si>
  <si>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</si>
  <si>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</si>
  <si>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</si>
  <si>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PROLIFIC_PID</t>
  </si>
  <si>
    <t>num_valid_steps_left</t>
  </si>
  <si>
    <t>num_valid_steps_right</t>
  </si>
  <si>
    <t>max_steps_left</t>
  </si>
  <si>
    <t>max_steps_right</t>
  </si>
  <si>
    <t>CorrectLeftDataEntry</t>
  </si>
  <si>
    <t>CorrectRightDataEntry</t>
  </si>
  <si>
    <t>SoftFlag</t>
  </si>
  <si>
    <t>Flagged</t>
  </si>
  <si>
    <t>IP Address</t>
  </si>
  <si>
    <t>190.101.62.25</t>
  </si>
  <si>
    <t>R_3bTosQFDBqtDctM</t>
  </si>
  <si>
    <t>anonymous</t>
  </si>
  <si>
    <t>EN</t>
  </si>
  <si>
    <t>5f34731aaf13c1394166f29b</t>
  </si>
  <si>
    <t>Provide me a list of 3-letter words that begin with the letter w</t>
  </si>
  <si>
    <t>wordswithwlist_1</t>
  </si>
  <si>
    <t>Yes - text was produced showing the agent working through the task</t>
  </si>
  <si>
    <t>Yes, I can identify the steps from the model's output</t>
  </si>
  <si>
    <t>03_05_2025_04_36_24_hCn</t>
  </si>
  <si>
    <t>Correct</t>
  </si>
  <si>
    <t>N/A</t>
  </si>
  <si>
    <t>03_05_2025_04_36_24_DPn</t>
  </si>
  <si>
    <t>Right</t>
  </si>
  <si>
    <t>191.57.49.49</t>
  </si>
  <si>
    <t>R_5WTsQMyixQ131gQ</t>
  </si>
  <si>
    <t>6719637f62cec965e1fcb4fa</t>
  </si>
  <si>
    <t>Give me a list of PS5 games that are on sale on the American PSN right now.</t>
  </si>
  <si>
    <t>psn_sale</t>
  </si>
  <si>
    <t>It was time consuming to wait for the agent to load, and to read all the descriptions.</t>
  </si>
  <si>
    <t>03_05_2025_04_39_44_lfl</t>
  </si>
  <si>
    <t>03_05_2025_04_39_44_LpZ</t>
  </si>
  <si>
    <t>incorrect</t>
  </si>
  <si>
    <t>Left</t>
  </si>
  <si>
    <t>143.159.181.49</t>
  </si>
  <si>
    <t>R_2rChKyQxW6CsarA</t>
  </si>
  <si>
    <t>63d190d52bb71e0e81d868f2</t>
  </si>
  <si>
    <t>What is the lowest critic review score for Octopath Traveler on Metacritic?</t>
  </si>
  <si>
    <t>Metacritic_1</t>
  </si>
  <si>
    <t>The space for the completion code is blank.</t>
  </si>
  <si>
    <t>03_05_2025_21_08_57_AQd</t>
  </si>
  <si>
    <t>03_05_2025_21_08_57_Imc</t>
  </si>
  <si>
    <t>92.233.97.14</t>
  </si>
  <si>
    <t>R_27HW36c49iQaHPc</t>
  </si>
  <si>
    <t>5d595e7b6c04b2001a1edb29</t>
  </si>
  <si>
    <t>What was the trending price of gold in comparison to nasdaq in the last 60 days?</t>
  </si>
  <si>
    <t>GoldNasdaq</t>
  </si>
  <si>
    <t>03_05_2025_21_12_20_pzJ</t>
  </si>
  <si>
    <t>03_05_2025_21_12_20_HMD</t>
  </si>
  <si>
    <t>82.43.106.11</t>
  </si>
  <si>
    <t>R_8RlJZchfkyM8I6M</t>
  </si>
  <si>
    <t>63d79fcd741f9cfb2f87152f</t>
  </si>
  <si>
    <t>give me ten recent news headlines in sports and news from bbc.co.uk.</t>
  </si>
  <si>
    <t>63d79fcd741f9cfb2f87152f_1</t>
  </si>
  <si>
    <t>No, I cannot identify any steps clearly from the model's output</t>
  </si>
  <si>
    <t xml:space="preserve">üß† Starting an agent with main_model=anonymized, planner_model=anonymized, extraction_model=anonymized
üöÄ Starting task: give me ten recent news headlines in sports and news from bbc.co.uk
üìç Step 1
Failed to parse model output: with Expecting value: line 1 column 1 (char 0), could not extract JSON.
Failed to parse model output: content='' additional_kwargs={'refusal': None} response_metadata={'token_usage': {'completion_tokens': 0, 'prompt_tokens': 3104, 'total_tokens': 3104, 'completion_tokens_details': None, 'prompt_tokens_details': None}, 'model_name': 'google/gemini-2.5-pro-preview', 'system_fingerprint': None, 'id': 'gen-1746592445-q9xhkDktwQRixeX6Wp8z', 'finish_reason': 'stop', 'logprobs': None} id='run-25b73d69-00f3-4bf3-ab01-60ae21d2f18e-0' usage_metadata={'input_tokens': 3104, 'output_tokens': 0, 'total_tokens': 3104, 'input_token_details': {}, 'output_token_details': {}} with error Could not parse response., try again.
‚ùå Result failed 1/3 times:
Could not parse response.
üìç Step 1
Failed to parse model output: with Expecting value: line 1 column 1 (char 0), could not extract JSON.
Failed to parse model output: content='' additional_kwargs={'refusal': None} response_metadata={'token_usage': {'completion_tokens': 0, 'prompt_tokens': 3118, 'total_tokens': 3118, 'completion_tokens_details': None, 'prompt_tokens_details': None}, 'model_name': 'google/gemini-2.5-pro-preview', 'system_fingerprint': None, 'id': 'gen-1746592448-nqRPprrSKeMVf9eoqqMC', 'finish_reason': 'stop', 'logprobs': None} id='run-53344d05-0339-4ac5-aad1-ebb03fb2d51c-0' usage_metadata={'input_tokens': 3118, 'output_tokens': 0, 'total_tokens': 3118, 'input_token_details': {}, 'output_token_details': {}} with error Could not parse response., try again.
‚ùå Result failed 2/3 times:
Could not parse response.
üìç Step 1
Failed to parse model output: Previous steps:
Step 1: I am trying to accomplish the task. My ultimate goal is to find ten recent news headlines from bbc.co.uk, specifically from the sports and news sections. I will start by navigating to the bbc.co.uk website.
Step 2: I have navigated to bbc.co.uk. I need to find the sports and news sections of the website. I will look for links to 'Sport' and 'News'.
Ultimate task: give me ten recent news headlines in sports and news from bbc.co.uk
[Current state ends here] with Expecting value: line 1 column 1 (char 0), could not extract JSON.
Failed to parse model output: content="Previous steps:\n- Step 1: I am trying to accomplish the task. My ultimate goal is to find ten recent news headlines from bbc.co.uk, specifically from the sports and news sections. I will start by navigating to the bbc.co.uk website.\n- Step 2: I have navigated to bbc.co.uk. I need to find the sports and news sections of the website. I will look for links to 'Sport' and 'News'.\nUltimate task: give me ten recent news headlines in sports and news from bbc.co.uk\n[Current state ends here]" additional_kwargs={'refusal': None} response_metadata={'token_usage': {'completion_tokens': 127, 'prompt_tokens': 3132, 'total_tokens': 3259, 'completion_tokens_details': None, 'prompt_tokens_details': None}, 'model_name': 'google/gemini-2.5-pro-preview', 'system_fingerprint': None, 'id': 'gen-1746592450-ylXTQUHfO6gP6cNKZ9kp', 'finish_reason': 'stop', 'logprobs': None} id='run-529cfa0f-7140-42c0-8034-434871b973ff-0' usage_metadata={'input_tokens': 3132, 'output_tokens': 127, 'total_tokens': 3259, 'input_token_details': {}, 'output_token_details': {}} with error Could not parse response., try again.
‚ùå Result failed 3/3 times:
Could not parse response.
‚ùå Stopping due to 3 consecutive failures
Log ID: 07_05_2025_04_34_02_rNO
</t>
  </si>
  <si>
    <t>07_05_2025_04_34_02_rNO</t>
  </si>
  <si>
    <t>07_05_2025_04_34_02_sTM</t>
  </si>
  <si>
    <t>76.29.6.53</t>
  </si>
  <si>
    <t>R_7fxjid81FRxhXsO</t>
  </si>
  <si>
    <t>67d2184896b0a15484e937da</t>
  </si>
  <si>
    <t>What is the top 10 selling album currently on apple music?</t>
  </si>
  <si>
    <t>music_1</t>
  </si>
  <si>
    <t>The survey took longer than expected.</t>
  </si>
  <si>
    <t>07_05_2025_04_30_10_HuX</t>
  </si>
  <si>
    <t>07_05_2025_04_30_10_Auk</t>
  </si>
  <si>
    <t>86.109.85.54</t>
  </si>
  <si>
    <t>R_6Nt89OLCdLufee1</t>
  </si>
  <si>
    <t>67edb211a7c1d23c1535d6b2</t>
  </si>
  <si>
    <t>visit the New York Times homepage and summarize the main story currently featured at the top of the page</t>
  </si>
  <si>
    <t>NYC Times_1</t>
  </si>
  <si>
    <t>Great Survey</t>
  </si>
  <si>
    <t>07_05_2025_15_10_56_EiU</t>
  </si>
  <si>
    <t>07_05_2025_15_10_56_hQu</t>
  </si>
  <si>
    <t>80.7.87.176</t>
  </si>
  <si>
    <t>R_2PiuMN7fPUZGvf3</t>
  </si>
  <si>
    <t>66cb2e0bd2169db778550269</t>
  </si>
  <si>
    <t>Name the Top 10 headlines from BBC News</t>
  </si>
  <si>
    <t>bbc_1</t>
  </si>
  <si>
    <t>09_05_2025_19_57_33_HgY</t>
  </si>
  <si>
    <t>09_05_2025_19_57_33_CFM</t>
  </si>
  <si>
    <t>174.138.215.19</t>
  </si>
  <si>
    <t>R_7HwtIQMgAzumcr7</t>
  </si>
  <si>
    <t>67be04f9cae8554d5724b744</t>
  </si>
  <si>
    <t>What are the today's top headlines from Fox News?</t>
  </si>
  <si>
    <t>Fox_News_1</t>
  </si>
  <si>
    <t>09_05_2025_20_13_59_XFw</t>
  </si>
  <si>
    <t>09_05_2025_20_13_59_wLl</t>
  </si>
  <si>
    <t>73.214.111.135</t>
  </si>
  <si>
    <t>R_7dqjXh90ZvIa3rH</t>
  </si>
  <si>
    <t>6475208cd6045ed7c2e281ab</t>
  </si>
  <si>
    <t xml:space="preserve">Please provide a list of the types of boats that can be rented at Piney Run Park in Eldersburg, Maryland and include the hourly rate. </t>
  </si>
  <si>
    <t>Y_Task_1</t>
  </si>
  <si>
    <t>09_05_2025_20_11_09_SCY</t>
  </si>
  <si>
    <t>09_05_2025_20_11_09_FrD</t>
  </si>
  <si>
    <t>185.111.174.129</t>
  </si>
  <si>
    <t>R_2pngZLZTEoWzKeV</t>
  </si>
  <si>
    <t>66bb63dab2b110041a61af00</t>
  </si>
  <si>
    <t>create a list of the top 20 best selling nintendo switch games</t>
  </si>
  <si>
    <t>nintendo_switch_games1</t>
  </si>
  <si>
    <t>the right model failed and did not complete the task after step 6</t>
  </si>
  <si>
    <t>09_05_2025_20_58_23_Idv</t>
  </si>
  <si>
    <t>09_05_2025_20_58_23_unx</t>
  </si>
  <si>
    <t>24.150.120.249</t>
  </si>
  <si>
    <t>R_7eDlNGi2GIol4WD</t>
  </si>
  <si>
    <t>67acbb030811018b016dcaf7</t>
  </si>
  <si>
    <t>What are the first 5 video titles on youtube homepage?</t>
  </si>
  <si>
    <t>youtube_1</t>
  </si>
  <si>
    <t>09_05_2025_21_21_06_MSm</t>
  </si>
  <si>
    <t>09_05_2025_21_21_06_kAA</t>
  </si>
  <si>
    <t>5.151.145.20</t>
  </si>
  <si>
    <t>R_2ozlzIOko5qUQiB</t>
  </si>
  <si>
    <t>6658b1b56a1df274ee633fdc</t>
  </si>
  <si>
    <t>Check all ticket touting websites and find the cheapest ticket I can get to Man City vs Bournemouth on the 20th of May</t>
  </si>
  <si>
    <t>mcfctix_1</t>
  </si>
  <si>
    <t>09_05_2025_21_28_12_OnA</t>
  </si>
  <si>
    <t>09_05_2025_21_28_12_RJD</t>
  </si>
  <si>
    <t>71.57.53.83</t>
  </si>
  <si>
    <t>R_5niMk8Hq8OAK5OW</t>
  </si>
  <si>
    <t>6643be675817fd2a43298a04</t>
  </si>
  <si>
    <t xml:space="preserve">a list of top 10 churches </t>
  </si>
  <si>
    <t>church1</t>
  </si>
  <si>
    <t>09_05_2025_21_30_52_Eso</t>
  </si>
  <si>
    <t>09_05_2025_21_30_52_wcO</t>
  </si>
  <si>
    <t>87.114.73.241</t>
  </si>
  <si>
    <t>R_2dMiJQNgGTesd84</t>
  </si>
  <si>
    <t>63af557b3d4f219c3226b7d6</t>
  </si>
  <si>
    <t>Please review Glasgow Celtic's fixtures from this season 2024/2025 so far and tell me how many goals they have scored across all competitive competitions and then review the goals and give me the distribution of goals in 10 minute intervals of games, e.g.0-10 minutes, 11-20 minutes21-30 minutes etc all the way up to 90 minutes and then include injury time as a separate interval.</t>
  </si>
  <si>
    <t>GlasgowCelticgoals1</t>
  </si>
  <si>
    <t>09_05_2025_21_42_22_kZY</t>
  </si>
  <si>
    <t>09_05_2025_21_42_22_SdT</t>
  </si>
  <si>
    <t>216.120.189.104</t>
  </si>
  <si>
    <t>R_8wt7STKtbJLAHS3</t>
  </si>
  <si>
    <t>67402c1286cd87fe38f29ffd</t>
  </si>
  <si>
    <t>give me a recipe for making pasta with cheese from the top 3 cooking websites, make it environmentally sustainable.</t>
  </si>
  <si>
    <t>cooking recipe</t>
  </si>
  <si>
    <t xml:space="preserve">A lot of instructions to read and understand, but they were clear and direct. </t>
  </si>
  <si>
    <t>09_05_2025_21_36_59_crp</t>
  </si>
  <si>
    <t>correct</t>
  </si>
  <si>
    <t>09_05_2025_21_36_59_AvQ</t>
  </si>
  <si>
    <t>left</t>
  </si>
  <si>
    <t>99.255.104.245</t>
  </si>
  <si>
    <t>R_1eUEZ3u2lJxihkN</t>
  </si>
  <si>
    <t>6544fd514964fea23051c3b7</t>
  </si>
  <si>
    <t>List out the symptoms of Vitamin D deficiency from WebMd and any other medical website</t>
  </si>
  <si>
    <t>WebMd_query1</t>
  </si>
  <si>
    <t>09_05_2025_21_40_30_XjR</t>
  </si>
  <si>
    <t>09_05_2025_21_40_30_YEs</t>
  </si>
  <si>
    <t>142.186.128.103</t>
  </si>
  <si>
    <t>R_3TyGUyodtUotDX6</t>
  </si>
  <si>
    <t>67ae36e6472072f99199d636</t>
  </si>
  <si>
    <t xml:space="preserve">Tell me different Plane ticket price from different websites for a one way trip from Ontario to Ottawa </t>
  </si>
  <si>
    <t>Ottawa Trip 1</t>
  </si>
  <si>
    <t>09_05_2025_21_41_14_YwM</t>
  </si>
  <si>
    <t xml:space="preserve">Correct </t>
  </si>
  <si>
    <t>09_05_2025_21_41_14_DvE</t>
  </si>
  <si>
    <t>82.39.167.4</t>
  </si>
  <si>
    <t>R_8NxLR6b2kD3g2a8</t>
  </si>
  <si>
    <t>6668d4917e343a318af11adf</t>
  </si>
  <si>
    <t>Compare prices of HP laptop model across different online retailers</t>
  </si>
  <si>
    <t>Compare@retailers_1</t>
  </si>
  <si>
    <t>This was quite a task</t>
  </si>
  <si>
    <t>09_05_2025_22_23_29_cgB</t>
  </si>
  <si>
    <t>09_05_2025_22_23_29_IXB</t>
  </si>
  <si>
    <t>136.55.181.8</t>
  </si>
  <si>
    <t>R_7K1ysv6mGjgpiNj</t>
  </si>
  <si>
    <t>67d1e8cc4e0fd9dcd8ceed97</t>
  </si>
  <si>
    <t>Give me a summary of this week's best-selling crypto coins.</t>
  </si>
  <si>
    <t>Wikipedia_3</t>
  </si>
  <si>
    <t>09_05_2025_22_39_53_FuI</t>
  </si>
  <si>
    <t>09_05_2025_22_39_53_htb</t>
  </si>
  <si>
    <t>73.80.203.104</t>
  </si>
  <si>
    <t>R_3Ea1qGxtNBUB1sx</t>
  </si>
  <si>
    <t>677d99129a69144291bf24bd</t>
  </si>
  <si>
    <t xml:space="preserve">get me online price details comparison of samsung qled 75 inch tv from 5 leading retailers in usa along with price from samsung website </t>
  </si>
  <si>
    <t>samsungtv1</t>
  </si>
  <si>
    <t>Error messages which are not really identifiable kind of javascript type of languages</t>
  </si>
  <si>
    <t>09_05_2025_22_44_26_YNT</t>
  </si>
  <si>
    <t>09_05_2025_22_44_26_xEk</t>
  </si>
  <si>
    <t>right</t>
  </si>
  <si>
    <t>172.59.78.118</t>
  </si>
  <si>
    <t>R_5r2m2MDD1lxdbeV</t>
  </si>
  <si>
    <t>665f5744f064b435b440a803</t>
  </si>
  <si>
    <t>how is the weather today</t>
  </si>
  <si>
    <t>nope</t>
  </si>
  <si>
    <t>09_05_2025_23_09_20_BUj</t>
  </si>
  <si>
    <t>failed</t>
  </si>
  <si>
    <t>09_05_2025_23_09_20_MfC</t>
  </si>
  <si>
    <t>R_2X6ddrI1v9IKBvF</t>
  </si>
  <si>
    <t>What are today's top 5 political news in UK</t>
  </si>
  <si>
    <t>political.uk</t>
  </si>
  <si>
    <t xml:space="preserve">This task was quite easy and tactical to complete </t>
  </si>
  <si>
    <t>10_05_2025_00_01_48_pTG</t>
  </si>
  <si>
    <t>10_05_2025_00_01_48_LVO</t>
  </si>
  <si>
    <t>86.140.203.231</t>
  </si>
  <si>
    <t>R_2CCU5Z8Ziyymst9</t>
  </si>
  <si>
    <t>6776bd45548f97b8129afed9</t>
  </si>
  <si>
    <t>What are today's top 10 most popular articles on buzzfeed?</t>
  </si>
  <si>
    <t>buzzfeedtop10articles1</t>
  </si>
  <si>
    <t>10_05_2025_00_00_27_IAX</t>
  </si>
  <si>
    <t>10_05_2025_00_00_27_TVe</t>
  </si>
  <si>
    <t>Tie</t>
  </si>
  <si>
    <t>154.6.177.46</t>
  </si>
  <si>
    <t>R_1vrlsMfeylfab3H</t>
  </si>
  <si>
    <t>673cf6d476dc4af064402a8c</t>
  </si>
  <si>
    <t>is deportation the best solution for illegal migrants?</t>
  </si>
  <si>
    <t>data collection</t>
  </si>
  <si>
    <t>09_05_2025_23_49_59_oZV</t>
  </si>
  <si>
    <t>09_05_2025_23_49_59_ugh</t>
  </si>
  <si>
    <t>24.192.168.61</t>
  </si>
  <si>
    <t>R_7WxuNjopoBhjby8</t>
  </si>
  <si>
    <t>62d43cee3d60ac98c1dcacc8</t>
  </si>
  <si>
    <t>What are the names of the top 20 most frequently visited lakes in the world currently?</t>
  </si>
  <si>
    <t>lakesasthetopic</t>
  </si>
  <si>
    <t>10_05_2025_01_25_04_TAY</t>
  </si>
  <si>
    <t>10_05_2025_01_25_04_TTJ</t>
  </si>
  <si>
    <t>86.109.86.205</t>
  </si>
  <si>
    <t>R_7QFMEAaLV7eZEtF</t>
  </si>
  <si>
    <t>67d184729aa937ccec298d54</t>
  </si>
  <si>
    <t>Find the titles and authors of the top 3 bestselling fiction books on Amazon's homepage today.</t>
  </si>
  <si>
    <t>Amazon_1</t>
  </si>
  <si>
    <t>10_05_2025_01_14_08_PHv</t>
  </si>
  <si>
    <t>10_05_2025_01_14_08_RLX</t>
  </si>
  <si>
    <t>162.236.247.182</t>
  </si>
  <si>
    <t>R_3Xp8VrfL51JTxeo</t>
  </si>
  <si>
    <t>67e70a61f963fecfc78db7ab</t>
  </si>
  <si>
    <t>gifts under $25 for mother's day</t>
  </si>
  <si>
    <t>mother_gift_1</t>
  </si>
  <si>
    <t>10_05_2025_01_06_39_yrs</t>
  </si>
  <si>
    <t>10_05_2025_01_06_39_PrQ</t>
  </si>
  <si>
    <t>149.18.54.44</t>
  </si>
  <si>
    <t>R_37EEMMd99k5uhHD</t>
  </si>
  <si>
    <t>680e67f9d4d42c1a45b04c57</t>
  </si>
  <si>
    <t>Go to the New York Times website and find the most recent op-ed article related to climate change. Summarize the main argument of the piece.</t>
  </si>
  <si>
    <t>new york times 1</t>
  </si>
  <si>
    <t>10_05_2025_01_37_05_xIM</t>
  </si>
  <si>
    <t>10_05_2025_01_37_05_jxR</t>
  </si>
  <si>
    <t>99.233.184.75</t>
  </si>
  <si>
    <t>R_3tUgVlbxBbjqdj3</t>
  </si>
  <si>
    <t>673b7ef45c9291ade287d5d7</t>
  </si>
  <si>
    <t xml:space="preserve">Check the IKEA website and find three coffee tables priced under $150 that are available for delivery. Write down their names, prices and one unique feature or material for each. </t>
  </si>
  <si>
    <t>ikea_coffeetables_1</t>
  </si>
  <si>
    <t>10_05_2025_02_04_43_gWk</t>
  </si>
  <si>
    <t>10_05_2025_02_04_43_lFr</t>
  </si>
  <si>
    <t>174.160.189.164</t>
  </si>
  <si>
    <t>R_5L4LEZv1oCOD6FP</t>
  </si>
  <si>
    <t>67414dcbcf89f6a633385d49</t>
  </si>
  <si>
    <t>What are today's top 20 headlines from Fox News?</t>
  </si>
  <si>
    <t>Fox_News1</t>
  </si>
  <si>
    <t>10_05_2025_03_04_51_sSy</t>
  </si>
  <si>
    <t>üìç Step 1
ü§∑ Eval: Unknown - I am starting with a blank page. No previous actions have been taken yet.
üß† Memory: Task: Get today's top 20 headlines from Fox News. I'm at step 1/15 with a blank browser page. I need to navigate to Fox News website first.
üéØ Next goal: Navigate to Fox News website
üõ†Ô∏è Action 1/1: {"go_to_url":{"url":"https://www.foxnews.com"}}
‚ùå Result failed 1/3 times:</t>
  </si>
  <si>
    <t>10_05_2025_03_04_51_idu</t>
  </si>
  <si>
    <t>99.228.8.14</t>
  </si>
  <si>
    <t>R_7Cq0uOthuNR4isb</t>
  </si>
  <si>
    <t>5e7bc6522b3c381f6e3c1b3f</t>
  </si>
  <si>
    <t>what are the fastest-growing tech startups in Toronto?</t>
  </si>
  <si>
    <t>startups_1</t>
  </si>
  <si>
    <t>10_05_2025_03_16_40_dQm</t>
  </si>
  <si>
    <t>10_05_2025_03_16_40_fSK</t>
  </si>
  <si>
    <t>161.8.175.56</t>
  </si>
  <si>
    <t>R_18IZK9dYB7HlvI2</t>
  </si>
  <si>
    <t>679334a846e22adcedd4cfd0</t>
  </si>
  <si>
    <t>Go to the New York Times website, navigate to the 'Books' section, and summarize the review of the current week's featured fiction book.</t>
  </si>
  <si>
    <t>NY-NY2Q02T-001</t>
  </si>
  <si>
    <t>10_05_2025_03_03_55_vsV</t>
  </si>
  <si>
    <t>10_05_2025_03_03_55_Umi</t>
  </si>
  <si>
    <t>99.227.244.11</t>
  </si>
  <si>
    <t>R_6pEzMd1pozCN2rl</t>
  </si>
  <si>
    <t>67be0bd60d5c8053c07c42bc</t>
  </si>
  <si>
    <t>what are today's top 10 sports news headlines</t>
  </si>
  <si>
    <t>sports_1</t>
  </si>
  <si>
    <t>This was a longer task than expected.</t>
  </si>
  <si>
    <t>10_05_2025_03_41_38_tUR</t>
  </si>
  <si>
    <t>10_05_2025_03_41_38_ygE</t>
  </si>
  <si>
    <t>222.154.72.63</t>
  </si>
  <si>
    <t>R_4WOnkY90BzTg0S5</t>
  </si>
  <si>
    <t>656bb5b282d8f0267db9d167</t>
  </si>
  <si>
    <t>Please provide me with the top 5 articles which are displayed on stuff nz homepage</t>
  </si>
  <si>
    <t>11_05_2025_04_28_09_hSQ</t>
  </si>
  <si>
    <t>11_05_2025_04_28_09_efj</t>
  </si>
  <si>
    <t>R_3iTaibaxR3aK2Jj</t>
  </si>
  <si>
    <t>Go to the BestBuy website and find the current top-rated wireless headphones under $200. Summarize the product name, price, and average customer rating of the top three options.</t>
  </si>
  <si>
    <t>bestbuy_headphones_1</t>
  </si>
  <si>
    <t>11_05_2025_04_36_50_zuh</t>
  </si>
  <si>
    <t>11_05_2025_04_36_50_kRW</t>
  </si>
  <si>
    <t>70.49.191.123</t>
  </si>
  <si>
    <t>R_6f1c7Nucq5MKYZd</t>
  </si>
  <si>
    <t>667f5538544c78eff18e1d85</t>
  </si>
  <si>
    <t>Create a list of the top 10 highest rated video games from IGN.</t>
  </si>
  <si>
    <t>IGN_1</t>
  </si>
  <si>
    <t>Both agents failed to provide a gif.</t>
  </si>
  <si>
    <t>11_05_2025_04_50_35_dLM</t>
  </si>
  <si>
    <t>11_05_2025_04_50_35_pjT</t>
  </si>
  <si>
    <t>188.210.215.15</t>
  </si>
  <si>
    <t>R_2CJZc8hehXkBLnv</t>
  </si>
  <si>
    <t>66640059232bcc6a15b24803</t>
  </si>
  <si>
    <t>Can you compile the list of the most affordable new built properties in manchester across different websites- specifically 3 to 4 bedroom houses with separate kitchens</t>
  </si>
  <si>
    <t>Ada1</t>
  </si>
  <si>
    <t>üß† Starting an agent with main_model=anonymized, planner_model=anonymized, extraction_model=anonymized
üöÄ Starting task: Can you compile the list of the most affordable new built properties in manchester across different websites- specifically 3 to 4 bedroom houses with separate
üìç Step 1
Failed to parse model output: Ultimate goal: Can you compile the list of the most affordable new built properties in manchester across different websites- specifically 3 to 4 bedroom houses with separate ""
Previous steps: Initial response:
{"action":[{"click_element": {"index": 0}}], "current_state": {"evaluation_previous_goal": "Success - I opend the first page", "memory": "Starting with the new task. I have completed 1/10 steps", "next_goal": "Click on company a"}}
[Finished executing previous]
The following is information about the previous action.
The action has type "click_element"
The index of the element is "0"
The page didn't change after the action.
The status code of the response is 200
The current highest element index is -1
The previous action has not changed the page.
[End of current state]{"current_state": {"evaluation_previous_goal": "Failed - The previous action was to click element 0, but the page was blank. Therefore, no element was clicked.", "memory": "Started the task. I need to find websites listing new built properties in Manchester. I will use Google search for this.", "next_goal": "Search Google for websites listing new built properties in Manchester."}, "action": [{"search_anonymous LLM company": {"query": "most affordable new build houses 3-4 bedroom Manchester"}}]} with Expecting value: line 1 column 1 (char 0), could not extract JSON.
Failed to parse model output: content='Ultimate goal: Can you compile the list of the most affordable new built properties in manchester across different websites- specifically 3 to 4 bedroom houses with separate ""\nPrevious steps: Initial response:\n{"action":[{"click_element": {"index": 0}}], "current_state": {"evaluation_previous_goal": "Success - I opend the first page", "memory": "Starting with the new task. I have completed 1/10 steps", "next_goal": "Click on company a"}}\n[Finished executing previous]\nThe following is information about the previous action.\nThe action has type "click_element"\nThe index of the element is "0"\nThe page didn't change after the action.\nThe status code of the response is 200\nThe current highest element index is -1\nThe previous action has not changed the page.\n[End of current state]{"current_state": {"evaluation_previous_goal": "Failed - The previous action was to click element 0, but the page was blank. Therefore, no element was clicked.", "memory": "Started the task. I need to find websites listing new built properties in Manchester. I will use Google search for this.", "next_goal": "Search Google for websites listing new built properties in Manchester."}, "action": [{"search_anonymous LLM company": {"query": "most affordable new build houses 3-4 bedroom Manchester"}}]}' additional_kwargs={'refusal': None} response_metadata={'token_usage': {'completion_tokens': 372, 'prompt_tokens': 3117, 'total_tokens': 3489, 'completion_tokens_details': None, 'prompt_tokens_details': None}, 'model_name': 'anonymous LLM company/anonymous LLM company-2.5-pro-preview', 'system_fingerprint': None, 'id': 'gen-1746942601-QNtNEbetkpy0u6LArUDi', 'finish_reason': 'stop', 'logprobs': None} id='run-3e74675b-5c69-48c0-b67b-2a10995a1334-0' usage_metadata={'input_tokens': 3117, 'output_tokens': 372, 'total_tokens': 3489, 'input_token_details': {}, 'output_token_details': {}} with error Could not parse response., try again.
‚ùå Result failed 1/3 times:
Could not parse response.
üìç Step 1
Failed to parse model output: [Current state ends] with Expecting value: line 1 column 2 (char 1), could not extract JSON.
Failed to parse model output: content='[Current state ends]' additional_kwargs={'refusal': None} response_metadata={'token_usage': None, 'model_name': 'anonymous LLM company/anonymous LLM company-2.5-pro-preview', 'system_fingerprint': None, 'id': 'gen-1746942607-tLmrL8TjOWnAaYObnJlj', 'finish_reason': 'error', 'logprobs': None} id='run-b3c0ed80-8fea-4168-9092-72ccb9ebd9e0-0' with error Could not parse response., try again.
‚ùå Result failed 2/3 times:
Could not parse response.
üìç Step 1
Failed to parse model output: with Expecting value: line 1 column 1 (char 0), could not extract JSON.
Failed to parse model output: content='' additional_kwargs={'refusal': None} response_metadata={'token_usage': {'completion_tokens': 0, 'prompt_tokens': 3145, 'total_tokens': 3145, 'completion_tokens_details': None, 'prompt_tokens_details': None}, 'model_name': 'anonymous LLM company/anonymous LLM company-2.5-pro-preview', 'system_fingerprint': None, 'id': 'gen-1746942612-gI1ZhmgMgne9Ultx6Yzn', 'finish_reason': 'stop', 'logprobs': None} id='run-70bd90f1-a7df-46b3-bac7-2507e93cd04d-0' usage_metadata={'input_tokens': 3145, 'output_tokens': 0, 'total_tokens': 3145, 'input_token_details': {}, 'output_token_details': {}} with error Could not parse response., try again.
‚ùå Result failed 3/3 times:
Could not parse response.
‚ùå Stopping due to 3 consecutive failures</t>
  </si>
  <si>
    <t>11_05_2025_05_49_58_jgb</t>
  </si>
  <si>
    <t>11_05_2025_05_49_58_HzF</t>
  </si>
  <si>
    <t>84.69.251.95</t>
  </si>
  <si>
    <t>R_8IBQO4jawl5217X</t>
  </si>
  <si>
    <t>5641c95d17bdbe00102a0b51</t>
  </si>
  <si>
    <t>I want to ask which guitar is recommended for beginners on the acousticguitarforum.com</t>
  </si>
  <si>
    <t xml:space="preserve">what guitar does acousticguitarforum.com recommend as best for beginners </t>
  </si>
  <si>
    <t>this survey took much longer than expected.</t>
  </si>
  <si>
    <t>11_05_2025_06_07_59_mKb</t>
  </si>
  <si>
    <t>11_05_2025_06_07_59_UZs</t>
  </si>
  <si>
    <t>68.204.132.241</t>
  </si>
  <si>
    <t>R_3eL8qVFifCN6Qen</t>
  </si>
  <si>
    <t>66eb1a41306925cf993d6490</t>
  </si>
  <si>
    <t>Go to nba.com and compile a list of the top 10 NBA players with the most points scored over the past week.</t>
  </si>
  <si>
    <t>NBA- Weekly- Most Points</t>
  </si>
  <si>
    <t>11_05_2025_06_10_26_Lck</t>
  </si>
  <si>
    <t>11_05_2025_06_10_26_QpD</t>
  </si>
  <si>
    <t>168.235.144.51</t>
  </si>
  <si>
    <t>R_3lga3THKv4zmVNt</t>
  </si>
  <si>
    <t>67ef17aab6360e90f6d47c67</t>
  </si>
  <si>
    <t>Go to the BBC News homepage, in the ''World' section, and list the top 5 headlines currently featured there.</t>
  </si>
  <si>
    <t>BBC_1</t>
  </si>
  <si>
    <t>11_05_2025_06_12_22_ScT</t>
  </si>
  <si>
    <t>11_05_2025_06_12_22_GuP</t>
  </si>
  <si>
    <t>168.235.146.181</t>
  </si>
  <si>
    <t>R_1VmcdsM747OpghX</t>
  </si>
  <si>
    <t>67f15c3a8fc8c9e4819d340d</t>
  </si>
  <si>
    <t>Who is the richest musician in the united states</t>
  </si>
  <si>
    <t>richest_musician</t>
  </si>
  <si>
    <t>11_05_2025_06_38_30_pBK</t>
  </si>
  <si>
    <t>11_05_2025_06_38_30_Yxu</t>
  </si>
  <si>
    <t>193.36.163.153</t>
  </si>
  <si>
    <t>R_5mxW8phloxcPrYi</t>
  </si>
  <si>
    <t>667a5ff51c51c00cc8fa401b</t>
  </si>
  <si>
    <t>What is today's most trending movies on netflix</t>
  </si>
  <si>
    <t>'-netflix-//</t>
  </si>
  <si>
    <t>11_05_2025_06_11_16_bVY</t>
  </si>
  <si>
    <t>11_05_2025_06_11_16_zDI</t>
  </si>
  <si>
    <t>90.251.166.216</t>
  </si>
  <si>
    <t>R_2ZHym94qdXsdQ2H</t>
  </si>
  <si>
    <t>5c4f5967aac8be0001716a65</t>
  </si>
  <si>
    <t>Find the top 5 most expensive books currently listed on AbeBooks.com and provide their titles, authors, and prices. Then compare these prices with listings for the same books on BookFinder.com if available.</t>
  </si>
  <si>
    <t>FlavinFun</t>
  </si>
  <si>
    <t>11_05_2025_06_47_08_gAp</t>
  </si>
  <si>
    <t>11_05_2025_06_47_08_Erz</t>
  </si>
  <si>
    <t>47.6.1.21</t>
  </si>
  <si>
    <t>R_5SBRXBWyxN3Hlrr</t>
  </si>
  <si>
    <t>67a796cd3ddc2ecc4a26fa35</t>
  </si>
  <si>
    <t>What are the top five songs on cmt.com?</t>
  </si>
  <si>
    <t>Cmt1</t>
  </si>
  <si>
    <t>11_05_2025_07_24_02_guO</t>
  </si>
  <si>
    <t>11_05_2025_07_24_02_PwH</t>
  </si>
  <si>
    <t xml:space="preserve">Right </t>
  </si>
  <si>
    <t>R_2s6KSWLBvk6DQKd</t>
  </si>
  <si>
    <t>Find the top 5 most-viewed movies currently playing in theaters, according to IMDb's 'Most Popular Movies' list, and list their IMDb ratings.</t>
  </si>
  <si>
    <t>FunFlavin</t>
  </si>
  <si>
    <t>11_05_2025_07_31_35_GLU</t>
  </si>
  <si>
    <t>11_05_2025_07_31_35_atF</t>
  </si>
  <si>
    <t>5.69.194.14</t>
  </si>
  <si>
    <t>R_2LgXZENYLorndUl</t>
  </si>
  <si>
    <t>5a94ee9bf6dfdd0001ea50f1</t>
  </si>
  <si>
    <t>what is the third most read article on which.com?</t>
  </si>
  <si>
    <t>Which.com-1</t>
  </si>
  <si>
    <t xml:space="preserve">The instructions were slightly misleading. I feel there should have been an instruction to say do not close the AI agent down before completing the study. </t>
  </si>
  <si>
    <t>11_05_2025_08_09_43_nJw</t>
  </si>
  <si>
    <t>11_05_2025_08_09_43_LcZ</t>
  </si>
  <si>
    <t>86.177.25.124</t>
  </si>
  <si>
    <t>R_21bljU2eT4NPAEa</t>
  </si>
  <si>
    <t>66796fff044cd41d6266d15f</t>
  </si>
  <si>
    <t>Find the current top 10 trending movies on IMDb and list their titles along with their user ratings</t>
  </si>
  <si>
    <t xml:space="preserve">tinashe-1 </t>
  </si>
  <si>
    <t>11_05_2025_08_10_03_OcQ</t>
  </si>
  <si>
    <t>11_05_2025_08_10_03_qWU</t>
  </si>
  <si>
    <t xml:space="preserve">right </t>
  </si>
  <si>
    <t>168.235.145.236</t>
  </si>
  <si>
    <t>R_1r0wZgD2xeT0DdL</t>
  </si>
  <si>
    <t>67f2a908ade3b552f3fbfbcc</t>
  </si>
  <si>
    <t>Who are the winners of ballon d'or for the last 5 years?</t>
  </si>
  <si>
    <t>response_1</t>
  </si>
  <si>
    <t>ERROR</t>
  </si>
  <si>
    <t>11_05_2025_08_39_43_kNs</t>
  </si>
  <si>
    <t>11_05_2025_08_39_43_xKr</t>
  </si>
  <si>
    <t>RIGHT</t>
  </si>
  <si>
    <t>99.72.62.51</t>
  </si>
  <si>
    <t>R_338EynY5SfnF5sV</t>
  </si>
  <si>
    <t>64135e3d9cd5e3f16290d29c</t>
  </si>
  <si>
    <t xml:space="preserve">Compare the plane ticket planes price for round trip airfare from New York To Hawaii on different plane ticket purchasing websites. </t>
  </si>
  <si>
    <t>planetickets_1</t>
  </si>
  <si>
    <t>11_05_2025_05_43_38_Axf</t>
  </si>
  <si>
    <t>11_05_2025_05_43_38_xXO</t>
  </si>
  <si>
    <t>120.22.230.46</t>
  </si>
  <si>
    <t>R_9v2F62HjBNMmOG5</t>
  </si>
  <si>
    <t>66735fc590d2b006289002b6</t>
  </si>
  <si>
    <t xml:space="preserve">Compare the specifications of smartphones on the honor magic 7 pro to the Iqoo 13. </t>
  </si>
  <si>
    <t>magic 7 pro vs iqoo 13</t>
  </si>
  <si>
    <t>was unable to pull up the same results by reloading page manually, other than that no</t>
  </si>
  <si>
    <t>11_05_2025_08_38_16_sbS</t>
  </si>
  <si>
    <t>11_05_2025_08_38_16_UpM</t>
  </si>
  <si>
    <t>left - as I voted earlier</t>
  </si>
  <si>
    <t>86.187.231.213</t>
  </si>
  <si>
    <t>R_2pZ3k5IDmfaTbLp</t>
  </si>
  <si>
    <t>62d6d87d91cf24a3c1c0f10c</t>
  </si>
  <si>
    <t>Find me the last available train from Cardiff Central to Barry Docks station today on trainline</t>
  </si>
  <si>
    <t>Train1</t>
  </si>
  <si>
    <t>11_05_2025_09_27_37_oRg</t>
  </si>
  <si>
    <t>11_05_2025_09_27_37_ppp</t>
  </si>
  <si>
    <t>92.113.15.160</t>
  </si>
  <si>
    <t>R_1hShwFWxg2fxi2m</t>
  </si>
  <si>
    <t>67eb2bd6461dbf31558bcfe5</t>
  </si>
  <si>
    <t>Give me three names, prices, and one feature or material used in each of three Coffee tables from the IKEA website priced under $150.</t>
  </si>
  <si>
    <t>IKEA coffee tables</t>
  </si>
  <si>
    <t>11_05_2025_09_47_02_VYi</t>
  </si>
  <si>
    <t>11_05_2025_09_47_02_HsO</t>
  </si>
  <si>
    <t>R_2Ph3pnHhmCcIF34</t>
  </si>
  <si>
    <t>What is the best rated Samsung TV according to which?</t>
  </si>
  <si>
    <t>Which-1?</t>
  </si>
  <si>
    <t>11_05_2025_14_19_12_TeJ</t>
  </si>
  <si>
    <t>11_05_2025_14_19_12_veF</t>
  </si>
  <si>
    <t>CORRECT</t>
  </si>
  <si>
    <t>RIGHT (B)</t>
  </si>
  <si>
    <t>92.40.142.161</t>
  </si>
  <si>
    <t>R_2RyekFYYDKT6sla</t>
  </si>
  <si>
    <t>5c4d8d706b23ab0001a34af2</t>
  </si>
  <si>
    <t>Sports_1</t>
  </si>
  <si>
    <t>11_05_2025_14_25_19_YhJ</t>
  </si>
  <si>
    <t>11_05_2025_14_25_19_FIv</t>
  </si>
  <si>
    <t>R_3MYCEfXsDI1UZPb</t>
  </si>
  <si>
    <t>give me the list of the last ten national teams to win the world cup</t>
  </si>
  <si>
    <t>task1</t>
  </si>
  <si>
    <t>very interesting</t>
  </si>
  <si>
    <t>11_05_2025_14_22_03_XJs</t>
  </si>
  <si>
    <t>11_05_2025_14_22_03_UuM</t>
  </si>
  <si>
    <t>R_8YS92ZKgQ2WHrS9</t>
  </si>
  <si>
    <t>What are the 10 ways to save the planet while gardening according to rhs.org.uk?</t>
  </si>
  <si>
    <t>RHS-planet1</t>
  </si>
  <si>
    <t>11_05_2025_14_47_18_Era</t>
  </si>
  <si>
    <t>11_05_2025_14_47_18_ZxX</t>
  </si>
  <si>
    <t>Right (B)</t>
  </si>
  <si>
    <t>161.8.161.114</t>
  </si>
  <si>
    <t>R_1Vp4cRcvaxht3mF</t>
  </si>
  <si>
    <t>67dd93a4fe9f3e8ed3ace123</t>
  </si>
  <si>
    <t>Go to Tripadvisor and find the top 3 rated hotels in Barcelona, Spain with free Wi-Fi and breakfast included. List their names, average user rating, and the starting price per night.</t>
  </si>
  <si>
    <t>wikipedia_01</t>
  </si>
  <si>
    <t>It was a nice study</t>
  </si>
  <si>
    <t>11_05_2025_14_34_53_PCs</t>
  </si>
  <si>
    <t>11_05_2025_14_34_53_tdO</t>
  </si>
  <si>
    <t>R_7wT4TcWjBGOHz2l</t>
  </si>
  <si>
    <t>What are the top 20 rarest vintage bottle caps in the world?</t>
  </si>
  <si>
    <t>rarestvintagebottlecaps</t>
  </si>
  <si>
    <t>11_05_2025_14_32_29_BvX</t>
  </si>
  <si>
    <t>11_05_2025_14_32_29_iUd</t>
  </si>
  <si>
    <t>R_8g5r59VanA7hz3N</t>
  </si>
  <si>
    <t>Find the current top 5 trending indie games on Steam's 'Popular Upcoming' list and summarize their genres and release dates.</t>
  </si>
  <si>
    <t>IndieSteam</t>
  </si>
  <si>
    <t>11_05_2025_15_23_15_HWs</t>
  </si>
  <si>
    <t>11_05_2025_15_23_15_iFQ</t>
  </si>
  <si>
    <t>R_8oFoh3h4LclS5N7</t>
  </si>
  <si>
    <t>Go to Amazon.com, search for '4K TVs,' sort by 'Avg. Customer Reviews,' and list the top 5 models along with their star ratings and prices.</t>
  </si>
  <si>
    <t>Amazon4K</t>
  </si>
  <si>
    <t>11_05_2025_16_37_10_TjY</t>
  </si>
  <si>
    <t>11_05_2025_16_37_10_Qis</t>
  </si>
  <si>
    <t>86.16.151.214</t>
  </si>
  <si>
    <t>R_2dSEMbPHcAjB04a</t>
  </si>
  <si>
    <t>6718b63a1e293387ef30d259</t>
  </si>
  <si>
    <t>Compare prices for different brands of laptops using sites like Amazon or Best Buy let you compare specs, reviews, and costs.</t>
  </si>
  <si>
    <t>Laptops</t>
  </si>
  <si>
    <t xml:space="preserve">I feel like there was a lot to read here and comprehend and it would be nice if instructions were made simpler and less threatening about rejecting everything. </t>
  </si>
  <si>
    <t>11_05_2025_16_31_49_Ibq</t>
  </si>
  <si>
    <t>11_05_2025_16_31_49_uth</t>
  </si>
  <si>
    <t>Left: Cause it actually produced a result and an output. The other one did not even get past step 1</t>
  </si>
  <si>
    <t>173.53.77.177</t>
  </si>
  <si>
    <t>R_3P6rWZrIwB8cAet</t>
  </si>
  <si>
    <t>5da689dc1ce19b0016500435</t>
  </si>
  <si>
    <t>Make me a list of the top most played heroes in Overwatch 2</t>
  </si>
  <si>
    <t>Overwatch_1</t>
  </si>
  <si>
    <t>11_05_2025_16_33_04_asV</t>
  </si>
  <si>
    <t>11_05_2025_16_33_04_ERr</t>
  </si>
  <si>
    <t>R_8qEXxFEPnt7uWFJ</t>
  </si>
  <si>
    <t>Please return the total number of competitive goals Henrik Larsson scored for Glasgow Celtic football club giving subtotals by the teams he scored against.</t>
  </si>
  <si>
    <t>HenrikLarsson_1</t>
  </si>
  <si>
    <t>11_05_2025_17_06_51_Omm</t>
  </si>
  <si>
    <t>11_05_2025_17_06_51_uKJ</t>
  </si>
  <si>
    <t>172.58.135.182</t>
  </si>
  <si>
    <t>R_63y1jFz2LxF8SEp</t>
  </si>
  <si>
    <t>668e88ea6a476e76e0c1993b</t>
  </si>
  <si>
    <t xml:space="preserve">provide me 4 list of journal on wood treatment </t>
  </si>
  <si>
    <t>generate1</t>
  </si>
  <si>
    <t>11_05_2025_17_35_23_AUA</t>
  </si>
  <si>
    <t>11_05_2025_17_35_23_ErL</t>
  </si>
  <si>
    <t>90.200.228.28</t>
  </si>
  <si>
    <t>R_2L8g0f26qkfqMI9</t>
  </si>
  <si>
    <t>6156fef09d1ab07148870099</t>
  </si>
  <si>
    <t>List all the UK airports fly that internationally</t>
  </si>
  <si>
    <t>airportt_list</t>
  </si>
  <si>
    <t>11_05_2025_17_51_33_HXH</t>
  </si>
  <si>
    <t>11_05_2025_17_51_33_qse</t>
  </si>
  <si>
    <t>81.132.63.194</t>
  </si>
  <si>
    <t>R_8PndC7ldN3OSzL2</t>
  </si>
  <si>
    <t>5ea1d789f5c6d70c14fbe739</t>
  </si>
  <si>
    <t>What are the top 10 Rides at alton towers for families ranging from ages 2 to adults?</t>
  </si>
  <si>
    <t>TowersRidesFamily1</t>
  </si>
  <si>
    <t>11_05_2025_18_05_49_bNN</t>
  </si>
  <si>
    <t>11_05_2025_18_05_49_qWj</t>
  </si>
  <si>
    <t>76.138.229.205</t>
  </si>
  <si>
    <t>R_1wR0r3h1yaNxAtP</t>
  </si>
  <si>
    <t>653703627539f3a8b2ed4af3</t>
  </si>
  <si>
    <t>How many nonstop flights to Las Vegas depart from Portland, Oregon every day and what airlines operate them?</t>
  </si>
  <si>
    <t>flights_1</t>
  </si>
  <si>
    <t>12_05_2025_03_54_21_KhV</t>
  </si>
  <si>
    <t>12_05_2025_03_54_21_dPl</t>
  </si>
  <si>
    <t>73.152.181.143</t>
  </si>
  <si>
    <t>R_7G81SMQWK8DnwzP</t>
  </si>
  <si>
    <t>60fd6618f9a377f54dcdf318</t>
  </si>
  <si>
    <t>Compare flight prices from Washington DC to Paris, France vs Washington DC to Kyoto Japan in 2025</t>
  </si>
  <si>
    <t>Compare flights-1</t>
  </si>
  <si>
    <t>directions are very confusing</t>
  </si>
  <si>
    <t>12_05_2025_03_47_09_Uhi</t>
  </si>
  <si>
    <t>12_05_2025_03_47_09_SDo</t>
  </si>
  <si>
    <t>Right is better</t>
  </si>
  <si>
    <t>88.97.162.131</t>
  </si>
  <si>
    <t>R_2L08NUT9qXaHRUF</t>
  </si>
  <si>
    <t>5c7ea15cb215c6000122b48d</t>
  </si>
  <si>
    <t>Create a summary for the wikipedia article about Manchester Metrolink</t>
  </si>
  <si>
    <t>wikipedia_1</t>
  </si>
  <si>
    <t>12_05_2025_04_05_21_mCX</t>
  </si>
  <si>
    <t>üìç Step 1
Failed to parse model output: with Expecting value: line 1 column 1 (char 0), could not extract JSON.
Failed to parse model output: content='' additional_kwargs={'refusal': None} response_metadata={'token_usage': {'completion_tokens': 0, 'prompt_tokens': 3099, 'total_tokens': 3099, 'completion_tokens_details': None, 'prompt_tokens_details': None}, 'model_name': 'anonymous LLM company/anonymous LLM company-2.5-pro-preview', 'system_fingerprint': None, 'id': 'gen-1747022860-ilEhJZRNPdPGEGg9EeYB', 'finish_reason': 'stop', 'logprobs': None} id='run-e51bbdf3-3bad-46e6-a8fe-c43619bd782d-0' usage_metadata={'input_tokens': 3099, 'output_tokens': 0, 'total_tokens': 3099, 'input_token_details': {}, 'output_token_details': {}} with error Could not parse response., try again.
‚ùå Result failed 1/3 times:
Could not parse response.</t>
  </si>
  <si>
    <t>12_05_2025_04_05_21_eYC</t>
  </si>
  <si>
    <t>R_6qqxafCTL8kGuZz</t>
  </si>
  <si>
    <t>top 5 wildlife rescue</t>
  </si>
  <si>
    <t>wildlife1</t>
  </si>
  <si>
    <t>12_05_2025_04_04_11_JDJ</t>
  </si>
  <si>
    <t>12_05_2025_04_04_11_fyc</t>
  </si>
  <si>
    <t>76.105.168.78</t>
  </si>
  <si>
    <t>R_1At0oj41Bb2OUw1</t>
  </si>
  <si>
    <t>6628078ec9f3353ac0da6f0b</t>
  </si>
  <si>
    <t>Go to Etsy.com, browse the trending home d√©cor category, and list the top 5 most popular items including their titles and prices.</t>
  </si>
  <si>
    <t>etsy_trending_1</t>
  </si>
  <si>
    <t>The interface was smooth and easy to follow. I appreciated the step-by-step evaluations. However, it seems like some websites (like Etsy) aggressively block bots with CAPTCHAs, which caused both agents to fail. It might be helpful to exclude or flag those domains to improve task completion rates. Overall, a great experience. thank you!</t>
  </si>
  <si>
    <t>12_05_2025_03_56_29_aty</t>
  </si>
  <si>
    <t>12_05_2025_03_56_29_nGd</t>
  </si>
  <si>
    <t>71.190.128.103</t>
  </si>
  <si>
    <t>R_5dzatrzwdT0pK13</t>
  </si>
  <si>
    <t>664c4e829445321c23a8de52</t>
  </si>
  <si>
    <t xml:space="preserve">find me any recipe on food.com </t>
  </si>
  <si>
    <t>food.com</t>
  </si>
  <si>
    <t xml:space="preserve">I spent a lot of time on this task. Your first instruction page does not explain that it is okay if the AI is not able to finish the task for a valid prompt. I went through 6 prompts before i found one that the ai was able to complete, and only then did I move on to the next page of your survey, where I found out that it was okay if the AI was not able to complete the task. You should tell us that on page 1. </t>
  </si>
  <si>
    <t>12_05_2025_05_13_04_KAL</t>
  </si>
  <si>
    <t>12_05_2025_05_13_04_yaD</t>
  </si>
  <si>
    <t>168.235.146.177</t>
  </si>
  <si>
    <t>R_3TzzEr0UXdTIDdV</t>
  </si>
  <si>
    <t>67e468215085eee5f9feb224</t>
  </si>
  <si>
    <t xml:space="preserve">Go to the New York Times website, navigate to the 'World' section, and tell me the headline of the top story.
</t>
  </si>
  <si>
    <t>Newyork times1</t>
  </si>
  <si>
    <t>12_05_2025_06_15_45_jad</t>
  </si>
  <si>
    <t>12_05_2025_06_15_45_pDI</t>
  </si>
  <si>
    <t>98.219.244.227</t>
  </si>
  <si>
    <t>R_699Ry5EM2jidygJ</t>
  </si>
  <si>
    <t>5f0d2ad60ad0d6730c380b05</t>
  </si>
  <si>
    <t>Find me the cheapest per count neutral white A19 LED light bulbs on Amazon.com</t>
  </si>
  <si>
    <t>Amazon A19</t>
  </si>
  <si>
    <t>I liked the idea of testing these things with a real world scenario I need to do myself, but It was really hard and time-consuming both to analyze what each model did and to know how to respond in here about each step.  Also it was hard to decide which to vote for when neither got the correct answer.  One got through more steps and got to a final (but wrong) answer, but it is not clear to us that this was because the other one actually did anything wrong in its execution of the task. Every time either failed to complete a step, it seemed like it was some kind of error with the software running. The only one I could confirm made errors was the one that got further along, since it came up with the wrong answer. Maybe I should have chosen a tie since neither succeeded or maybe I should have even chose the one that only got through a few steps since at least it was correct as far as it got...</t>
  </si>
  <si>
    <t>12_05_2025_05_10_20_GJx</t>
  </si>
  <si>
    <t>12_05_2025_05_10_20_VeZ</t>
  </si>
  <si>
    <t>151.230.45.58</t>
  </si>
  <si>
    <t>R_2q4ALLuFQtgNQ4A</t>
  </si>
  <si>
    <t>675ab3f6c12c9e3fd27046b3</t>
  </si>
  <si>
    <t xml:space="preserve">please search for the names of all presidents from Wikipedia </t>
  </si>
  <si>
    <t>wikipedia-1</t>
  </si>
  <si>
    <t>14_05_2025_07_38_08_bTo</t>
  </si>
  <si>
    <t>14_05_2025_07_38_08_vYz</t>
  </si>
  <si>
    <t>90.196.43.183</t>
  </si>
  <si>
    <t>R_2DjLaBInEh8hOa5</t>
  </si>
  <si>
    <t>67dbe2c38614c922a6a8dbe5</t>
  </si>
  <si>
    <t>Go to the BBC News website and list the top five headlines currently featured on the homepage</t>
  </si>
  <si>
    <t>very interesting I enjoyed it thanks</t>
  </si>
  <si>
    <t>14_05_2025_09_52_42_Acd</t>
  </si>
  <si>
    <t>14_05_2025_09_52_42_Xhc</t>
  </si>
  <si>
    <t>70.31.44.249</t>
  </si>
  <si>
    <t>R_6aVUSHPETeKbJGF</t>
  </si>
  <si>
    <t>what are the top 5 headlines today on CP24?</t>
  </si>
  <si>
    <t>cp24_1</t>
  </si>
  <si>
    <t>14_05_2025_16_51_15_cDL</t>
  </si>
  <si>
    <t>14_05_2025_16_51_15_rqG</t>
  </si>
  <si>
    <t>R_3qam7YuFMP3s59D</t>
  </si>
  <si>
    <t>Compare flight prices to a one way trip to Montreal next Friday on different booking websites to find the cheapest flight</t>
  </si>
  <si>
    <t>flight_1</t>
  </si>
  <si>
    <t>14_05_2025_17_11_59_jbE</t>
  </si>
  <si>
    <t>14_05_2025_17_11_59_xtG</t>
  </si>
  <si>
    <t>R_2YYGiL2bHLYala1</t>
  </si>
  <si>
    <t>Go to the New York Times website and find the main feature article on the homepage. Click on the article, read it, and summarize the main points in 3-5 bullet points.</t>
  </si>
  <si>
    <t>NYT_1</t>
  </si>
  <si>
    <t>14_05_2025_17_59_52_cUE</t>
  </si>
  <si>
    <t>14_05_2025_17_59_52_QEL</t>
  </si>
  <si>
    <t>RIght is better</t>
  </si>
  <si>
    <t>2.56.85.203</t>
  </si>
  <si>
    <t>R_87stMmj6CwJEaPS</t>
  </si>
  <si>
    <t>63469effac5117e39352c13b</t>
  </si>
  <si>
    <t>Compare the train prices for one-way tickets from London Euston to Manchester next Saturday on national rail and trainline websites</t>
  </si>
  <si>
    <t>pro_1234</t>
  </si>
  <si>
    <t>This survey and whoever created it are absolute idiots.</t>
  </si>
  <si>
    <t>14_05_2025_18_03_01_nKI</t>
  </si>
  <si>
    <t>14_05_2025_18_03_01_Clw</t>
  </si>
  <si>
    <t>86.21.132.199</t>
  </si>
  <si>
    <t>R_8KWBgwxFkvPy9Ut</t>
  </si>
  <si>
    <t>6147c5874b61952e42e9b2bd</t>
  </si>
  <si>
    <t>compare the prices of the latest PC graphics cards</t>
  </si>
  <si>
    <t>GPU_1</t>
  </si>
  <si>
    <t>14_05_2025_17_53_58_prF</t>
  </si>
  <si>
    <t>14_05_2025_17_53_58_gTF</t>
  </si>
  <si>
    <t>Left (A is better)</t>
  </si>
  <si>
    <t>R_4LSV0bxQPMZ1EXk</t>
  </si>
  <si>
    <t>Narrow down the 3 or more TUV Rheinland certifications for eye care/health on the Honor Magic 7 Pro and list what they all are. Then search trusted and reputable websites to cross-reference and look for any other smartphones that offer at least the same eye health benefits or more, or number of eye health benefits or more, for a smartphone screen.</t>
  </si>
  <si>
    <t>Honor Magic 7 Pro screen care vs.</t>
  </si>
  <si>
    <t>no thanks</t>
  </si>
  <si>
    <t>14_05_2025_19_00_41_aPL</t>
  </si>
  <si>
    <t>14_05_2025_19_00_41_RxH</t>
  </si>
  <si>
    <t>102.90.79.27</t>
  </si>
  <si>
    <t>R_3jdqSVNYG7D55KI</t>
  </si>
  <si>
    <t>6810e66d3f6d622de733cb42</t>
  </si>
  <si>
    <t>Visit the official Nike website and find three different men's running shoes priced under $100. List their names, prices, and available sizes.</t>
  </si>
  <si>
    <t>INT-0525-NIKE-RUNSHOES-01</t>
  </si>
  <si>
    <t xml:space="preserve">It seems like there was a technical issue with parsing the model‚Äôs responses, which affected the flow. Otherwise, the steps seem clear, but shortening or refining the feedback would improve clarity.
</t>
  </si>
  <si>
    <t>14_05_2025_19_02_27_sEq</t>
  </si>
  <si>
    <t>14_05_2025_19_02_27_zun</t>
  </si>
  <si>
    <t>2.101.6.186</t>
  </si>
  <si>
    <t>R_2FEWmLmXpVNEn6J</t>
  </si>
  <si>
    <t>673a2e12fc7b7863f7d57771</t>
  </si>
  <si>
    <t>Go to the New York Times website and find the most recent book review in the "Books" section. Summarize the main points of the review and identify the title and author of the book being reviewed.
Make sure to copy and paste this exact text both into the answer box on this page and when submitting the task to the AI agent on the other website.</t>
  </si>
  <si>
    <t>prolificpedro</t>
  </si>
  <si>
    <t>none</t>
  </si>
  <si>
    <t>14_05_2025_20_23_48_mmZ</t>
  </si>
  <si>
    <t>14_05_2025_20_23_48_qjz</t>
  </si>
  <si>
    <t>RIGTH</t>
  </si>
  <si>
    <t>174.204.67.84</t>
  </si>
  <si>
    <t>R_5yrcSyYKqOMLtBa</t>
  </si>
  <si>
    <t>671d553e0d035028da7d29a1</t>
  </si>
  <si>
    <t>What are today's top 5 headlines from the Peninsula Clarion?</t>
  </si>
  <si>
    <t>Peninsula_Clarion_1</t>
  </si>
  <si>
    <t xml:space="preserve">This was fun! </t>
  </si>
  <si>
    <t>14_05_2025_20_29_51_HNC</t>
  </si>
  <si>
    <t>14_05_2025_20_29_51_SPJ</t>
  </si>
  <si>
    <t>R_50pkWKFgYI9CdZf</t>
  </si>
  <si>
    <t>What are the top 10 french wines from vintage 1996?</t>
  </si>
  <si>
    <t>top_french_wine_1</t>
  </si>
  <si>
    <t>14_05_2025_20_30_27_HOH</t>
  </si>
  <si>
    <t>14_05_2025_20_30_27_tLY</t>
  </si>
  <si>
    <t>108.41.40.249</t>
  </si>
  <si>
    <t>R_5O0RVUwXS0h3Onr</t>
  </si>
  <si>
    <t>671bdd06525adeea062a1d73</t>
  </si>
  <si>
    <t>Go to nba.com, find the box score for yesterday's Indiana Pacers vs Cleveland Cavaliers game, and then relay the top 5 performers of that game.</t>
  </si>
  <si>
    <t>nba_1</t>
  </si>
  <si>
    <t>14_05_2025_21_50_23_OEq</t>
  </si>
  <si>
    <t>14_05_2025_21_50_23_MEE</t>
  </si>
  <si>
    <t>172.58.135.68</t>
  </si>
  <si>
    <t>R_6mCNFOX8ur1e2cV</t>
  </si>
  <si>
    <t>Give me a list of four highly rated hotels in Los Angeles, California.</t>
  </si>
  <si>
    <t>Rebirth1</t>
  </si>
  <si>
    <t>14_05_2025_21_56_17_HBv</t>
  </si>
  <si>
    <t>14_05_2025_21_56_17_GHu</t>
  </si>
  <si>
    <t>24.55.46.41</t>
  </si>
  <si>
    <t>R_7oXdF0GowimODV8</t>
  </si>
  <si>
    <t>67f15a6eb321af2595c63b9b</t>
  </si>
  <si>
    <t>Find the current best-selling fiction books on Amazon and note their prices and user ratings.</t>
  </si>
  <si>
    <t>FB_1</t>
  </si>
  <si>
    <t>14_05_2025_21_56_09_Kin</t>
  </si>
  <si>
    <t>14_05_2025_21_56_09_zIi</t>
  </si>
  <si>
    <t>174.229.116.30</t>
  </si>
  <si>
    <t>R_6W3Ql9hqj5uc9MJ</t>
  </si>
  <si>
    <t>67d24179c5bd87691f1fe036</t>
  </si>
  <si>
    <t>Find me a one-way ticket from ATL to ORD on June 24, 2025 and make sure it is nonstop. Compare different airline prices.</t>
  </si>
  <si>
    <t>atl_ord</t>
  </si>
  <si>
    <t>14_05_2025_22_16_02_rnf</t>
  </si>
  <si>
    <t>14_05_2025_22_16_02_KKp</t>
  </si>
  <si>
    <t>31.52.117.220</t>
  </si>
  <si>
    <t>R_8BX1EEOHK2R0rW9</t>
  </si>
  <si>
    <t>6413bde82572af834c41ba64</t>
  </si>
  <si>
    <t>Can you give me a rundown of the lore from the video game series Halo, from Halo CE to Halo 3</t>
  </si>
  <si>
    <t>Halo_Lore</t>
  </si>
  <si>
    <t>14_05_2025_22_34_20_ZOi</t>
  </si>
  <si>
    <t>14_05_2025_22_34_20_wQY</t>
  </si>
  <si>
    <t>99.241.55.6</t>
  </si>
  <si>
    <t>R_6eFVHKHDK1OM4Jw</t>
  </si>
  <si>
    <t>67bf7651fc38f945d1ef2912</t>
  </si>
  <si>
    <t>what are today's top 20 headlines from CBC</t>
  </si>
  <si>
    <t>cbc_top_20_today</t>
  </si>
  <si>
    <t>14_05_2025_23_44_09_sck</t>
  </si>
  <si>
    <t>14_05_2025_23_44_09_RFZ</t>
  </si>
  <si>
    <t>R_531E9gLCW0Q2cvj</t>
  </si>
  <si>
    <t>compare scholarships available in canada</t>
  </si>
  <si>
    <t>scholarships_canada_compare</t>
  </si>
  <si>
    <t>15_05_2025_02_15_52_BkR</t>
  </si>
  <si>
    <t>15_05_2025_02_15_52_wyN</t>
  </si>
  <si>
    <t>67.166.50.188</t>
  </si>
  <si>
    <t>R_3CUp1idQurStXNL</t>
  </si>
  <si>
    <t>6659e827e445df6ae5f4103c</t>
  </si>
  <si>
    <t>What are the first five upcoming events listed on the home page of the Meridian Library District website?</t>
  </si>
  <si>
    <t>library_1</t>
  </si>
  <si>
    <t>15_05_2025_02_07_18_dqY</t>
  </si>
  <si>
    <t>15_05_2025_02_07_18_ySh</t>
  </si>
  <si>
    <t>I marked the left model as more successful because it didn't fail to complete any of the steps. The right model failed to complete most of the steps.</t>
  </si>
  <si>
    <t>R_323Ijx58tsYvzHj</t>
  </si>
  <si>
    <t>Explore the National Park Service‚Äôs virtual tour of Ellis Island and write a short paragraph (3-5 sentences) describing what immigrants might have experienced upon arrival in the early 20th century.</t>
  </si>
  <si>
    <t>National park1</t>
  </si>
  <si>
    <t>This was fun,interactive and educative.</t>
  </si>
  <si>
    <t>15_05_2025_02_19_08_jWZ</t>
  </si>
  <si>
    <t>15_05_2025_02_19_08_WLM</t>
  </si>
  <si>
    <t>R_4OvssAh49ZfIVGR</t>
  </si>
  <si>
    <t>List the 7 eye-care features for greater comfort and each of their attributes listed on the website honor.com for the Honor Magic 7 Pro. Then search google and gsmarena to find any other smartphones that have at least 6 eye-care features or more only.</t>
  </si>
  <si>
    <t>Honor Magic 7 Pro all eye-care vs.</t>
  </si>
  <si>
    <t xml:space="preserve">I would say both AI agents failed this one as they couldn't even return any information which was needed for the next comparison step. </t>
  </si>
  <si>
    <t>15_05_2025_02_37_40_QEa</t>
  </si>
  <si>
    <t>15_05_2025_02_37_40_CQB</t>
  </si>
  <si>
    <t>R_6jjqmyxRJ91sfZE</t>
  </si>
  <si>
    <t>what are the top 10 high scores on typeracer currently</t>
  </si>
  <si>
    <t>typeracer_top_10</t>
  </si>
  <si>
    <t>15_05_2025_02_52_49_SZo</t>
  </si>
  <si>
    <t>15_05_2025_02_52_49_Lnw</t>
  </si>
  <si>
    <t>168.235.144.207</t>
  </si>
  <si>
    <t>R_34ecPss7ZKELgMP</t>
  </si>
  <si>
    <t>67f2e7e796881a7894a2390e</t>
  </si>
  <si>
    <t>1. Go to the IMDb website and list the top 5 highest-rated movies released in the past year.
2. Visit Airbnb and find the average nightly price for a private room in Paris, France, for a weekend two months from now.</t>
  </si>
  <si>
    <t>IMDb-1
Airbnb_123</t>
  </si>
  <si>
    <t>None at the moment.</t>
  </si>
  <si>
    <t>15_05_2025_02_48_47_Okl</t>
  </si>
  <si>
    <t>15_05_2025_02_48_47_tOt</t>
  </si>
  <si>
    <t>104.139.60.85</t>
  </si>
  <si>
    <t>R_5BfE8QpW0UonR2Y</t>
  </si>
  <si>
    <t>5e03f8517f08edece67a3137</t>
  </si>
  <si>
    <t xml:space="preserve">Can you tell me the top 5 rated anime tv series in the last 10 years on imdb.com </t>
  </si>
  <si>
    <t>animesourcing</t>
  </si>
  <si>
    <t>15_05_2025_02_45_49_bkN</t>
  </si>
  <si>
    <t>15_05_2025_02_45_49_xXw</t>
  </si>
  <si>
    <t>174.81.214.133</t>
  </si>
  <si>
    <t>R_5a15Gp7L4TiXWMx</t>
  </si>
  <si>
    <t>6712fe1173dfa2bfa2d6294b</t>
  </si>
  <si>
    <t>Tell me the names of the top 5 nba players from nba.com</t>
  </si>
  <si>
    <t>Thank you for the opportunity to learn more about AI, it was very enjoyable!</t>
  </si>
  <si>
    <t>15_05_2025_03_14_33_Pbg</t>
  </si>
  <si>
    <t>15_05_2025_03_14_33_CWU</t>
  </si>
  <si>
    <t>50.68.229.28</t>
  </si>
  <si>
    <t>R_6BcJdU1gIO4AfyV</t>
  </si>
  <si>
    <t>6722d124b7fea7fe8b5320fd</t>
  </si>
  <si>
    <t>Give me the top 5 recipes for chicken noodle soup from 5 different websites.</t>
  </si>
  <si>
    <t>recipes_1</t>
  </si>
  <si>
    <t>I wasn't sure if evaluations of failed tasks should be marked as correct (as the evaluation itself is correct even though the task was not successfully performed). I ultimately decided that it was correct if the agent correctly followed a logical path progression and incorrect if the result and goal are mismatched.</t>
  </si>
  <si>
    <t>15_05_2025_03_25_18_RUV</t>
  </si>
  <si>
    <t>15_05_2025_03_25_18_lkG</t>
  </si>
  <si>
    <t>Incorrect</t>
  </si>
  <si>
    <t>num_left_correct</t>
  </si>
  <si>
    <t>num_right_correct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</si>
</sst>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103"/>
  <sheetViews>
    <sheetView tabSelected="1" topLeftCell="A85" workbookViewId="0">
      <pane xSplit="1" topLeftCell="BK1" activePane="topRight" state="frozen"/>
      <selection pane="topRight" activeCell="BT111" sqref="BT111"/>
    </sheetView>
  </sheetViews>
  <sheetFormatPr baseColWidth="10" defaultRowHeight="16" x14ac:dyDescent="0.2"/>
  <cols>
    <col min="27" max="27" width="10" customWidth="1"/>
    <col min="70" max="70" width="15.33203125" bestFit="1" customWidth="1"/>
  </cols>
  <sheetData>
    <row r="1" spans="1:71" ht="20" customHeight="1" x14ac:dyDescent="0.2">
      <c r="A1" t="s">
        <v>8</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806</v>
      </c>
      <c r="BS1" t="s">
        <v>807</v>
      </c>
    </row>
    <row r="2" spans="1:71" ht="20" customHeight="1" x14ac:dyDescent="0.2">
      <c r="A2" t="s">
        <v>70</v>
      </c>
      <c r="B2" s="1">
        <v>45779.939930555556</v>
      </c>
      <c r="C2" s="1">
        <v>45779.950590277775</v>
      </c>
      <c r="D2" t="s">
        <v>68</v>
      </c>
      <c r="E2" t="s">
        <v>69</v>
      </c>
      <c r="F2">
        <v>100</v>
      </c>
      <c r="G2">
        <v>921</v>
      </c>
      <c r="H2" t="b">
        <v>1</v>
      </c>
      <c r="I2" s="1">
        <v>45779.950590277775</v>
      </c>
      <c r="J2" t="s">
        <v>70</v>
      </c>
      <c r="O2">
        <v>-33.452100000000002</v>
      </c>
      <c r="P2">
        <v>-70.653599999999997</v>
      </c>
      <c r="Q2" t="s">
        <v>71</v>
      </c>
      <c r="R2" t="s">
        <v>72</v>
      </c>
      <c r="S2" t="s">
        <v>73</v>
      </c>
      <c r="T2" t="s">
        <v>74</v>
      </c>
      <c r="U2" t="s">
        <v>75</v>
      </c>
      <c r="V2" t="s">
        <v>76</v>
      </c>
      <c r="X2" t="s">
        <v>77</v>
      </c>
      <c r="Z2" t="s">
        <v>78</v>
      </c>
      <c r="AA2" t="s">
        <v>79</v>
      </c>
      <c r="AB2" t="s">
        <v>79</v>
      </c>
      <c r="AC2" t="s">
        <v>79</v>
      </c>
      <c r="AD2" t="s">
        <v>80</v>
      </c>
      <c r="AE2" t="s">
        <v>80</v>
      </c>
      <c r="AF2" t="s">
        <v>80</v>
      </c>
      <c r="AG2" t="s">
        <v>80</v>
      </c>
      <c r="AH2" t="s">
        <v>80</v>
      </c>
      <c r="AI2" t="s">
        <v>80</v>
      </c>
      <c r="AJ2" t="s">
        <v>80</v>
      </c>
      <c r="AK2" t="s">
        <v>80</v>
      </c>
      <c r="AL2" t="s">
        <v>80</v>
      </c>
      <c r="AM2" t="s">
        <v>80</v>
      </c>
      <c r="AN2" t="s">
        <v>80</v>
      </c>
      <c r="AO2" t="s">
        <v>80</v>
      </c>
      <c r="AP2" t="s">
        <v>77</v>
      </c>
      <c r="AR2" t="s">
        <v>81</v>
      </c>
      <c r="AS2" t="s">
        <v>79</v>
      </c>
      <c r="AT2" t="s">
        <v>79</v>
      </c>
      <c r="AU2" t="s">
        <v>79</v>
      </c>
      <c r="AV2" t="s">
        <v>80</v>
      </c>
      <c r="AW2" t="s">
        <v>80</v>
      </c>
      <c r="AX2" t="s">
        <v>80</v>
      </c>
      <c r="AY2" t="s">
        <v>80</v>
      </c>
      <c r="AZ2" t="s">
        <v>80</v>
      </c>
      <c r="BA2" t="s">
        <v>80</v>
      </c>
      <c r="BB2" t="s">
        <v>80</v>
      </c>
      <c r="BC2" t="s">
        <v>80</v>
      </c>
      <c r="BD2" t="s">
        <v>80</v>
      </c>
      <c r="BE2" t="s">
        <v>80</v>
      </c>
      <c r="BF2" t="s">
        <v>80</v>
      </c>
      <c r="BG2" t="s">
        <v>80</v>
      </c>
      <c r="BH2" t="s">
        <v>82</v>
      </c>
      <c r="BI2" t="s">
        <v>73</v>
      </c>
      <c r="BJ2">
        <f t="shared" ref="BJ2:BJ33" si="0">COUNTIF(AA2:AO2, "Correct") + COUNTIF(AA2:AO2, "Incorrect")</f>
        <v>3</v>
      </c>
      <c r="BK2">
        <f>COUNTIF(AS2:BG2, "Correct") + COUNTIF(AS2:BG2, "Incorrect")</f>
        <v>3</v>
      </c>
      <c r="BL2">
        <v>3</v>
      </c>
      <c r="BM2">
        <v>3</v>
      </c>
      <c r="BN2" t="b">
        <f>BJ2=BL2</f>
        <v>1</v>
      </c>
      <c r="BO2" t="b">
        <f>BK2=BM2</f>
        <v>1</v>
      </c>
      <c r="BP2" t="b">
        <f>NOT(AND(BN2, BO2))</f>
        <v>0</v>
      </c>
      <c r="BQ2" t="b">
        <v>0</v>
      </c>
      <c r="BR2">
        <f>COUNTIF(AA2:AO2, "Correct")/BJ2</f>
        <v>1</v>
      </c>
      <c r="BS2">
        <f>COUNTIF(AS2:BG2, "Correct")/BK2</f>
        <v>1</v>
      </c>
    </row>
    <row r="3" spans="1:71" ht="20" customHeight="1" x14ac:dyDescent="0.2">
      <c r="A3" t="s">
        <v>84</v>
      </c>
      <c r="B3" s="1">
        <v>45779.939317129632</v>
      </c>
      <c r="C3" s="1">
        <v>45779.955590277779</v>
      </c>
      <c r="D3" t="s">
        <v>68</v>
      </c>
      <c r="E3" t="s">
        <v>83</v>
      </c>
      <c r="F3">
        <v>100</v>
      </c>
      <c r="G3">
        <v>1406</v>
      </c>
      <c r="H3" t="b">
        <v>1</v>
      </c>
      <c r="I3" s="1">
        <v>45779.955601851849</v>
      </c>
      <c r="J3" t="s">
        <v>84</v>
      </c>
      <c r="O3">
        <v>-22.9072</v>
      </c>
      <c r="P3">
        <v>-43.188299999999998</v>
      </c>
      <c r="Q3" t="s">
        <v>71</v>
      </c>
      <c r="R3" t="s">
        <v>72</v>
      </c>
      <c r="S3" t="s">
        <v>85</v>
      </c>
      <c r="T3" t="s">
        <v>86</v>
      </c>
      <c r="U3" t="s">
        <v>87</v>
      </c>
      <c r="V3" t="s">
        <v>76</v>
      </c>
      <c r="W3" t="s">
        <v>88</v>
      </c>
      <c r="X3" t="s">
        <v>77</v>
      </c>
      <c r="Z3" t="s">
        <v>89</v>
      </c>
      <c r="AA3" t="s">
        <v>79</v>
      </c>
      <c r="AB3" t="s">
        <v>79</v>
      </c>
      <c r="AC3" t="s">
        <v>79</v>
      </c>
      <c r="AD3" t="s">
        <v>79</v>
      </c>
      <c r="AE3" t="s">
        <v>79</v>
      </c>
      <c r="AF3" t="s">
        <v>80</v>
      </c>
      <c r="AG3" t="s">
        <v>80</v>
      </c>
      <c r="AH3" t="s">
        <v>80</v>
      </c>
      <c r="AI3" t="s">
        <v>80</v>
      </c>
      <c r="AJ3" t="s">
        <v>80</v>
      </c>
      <c r="AK3" t="s">
        <v>80</v>
      </c>
      <c r="AL3" t="s">
        <v>80</v>
      </c>
      <c r="AM3" t="s">
        <v>80</v>
      </c>
      <c r="AN3" t="s">
        <v>80</v>
      </c>
      <c r="AO3" t="s">
        <v>80</v>
      </c>
      <c r="AP3" t="s">
        <v>77</v>
      </c>
      <c r="AR3" t="s">
        <v>90</v>
      </c>
      <c r="AS3" t="s">
        <v>79</v>
      </c>
      <c r="AT3" t="s">
        <v>79</v>
      </c>
      <c r="AU3" t="s">
        <v>79</v>
      </c>
      <c r="AV3" t="s">
        <v>79</v>
      </c>
      <c r="AW3" t="s">
        <v>79</v>
      </c>
      <c r="AX3" t="s">
        <v>79</v>
      </c>
      <c r="AY3" t="s">
        <v>91</v>
      </c>
      <c r="AZ3" t="s">
        <v>79</v>
      </c>
      <c r="BA3" t="s">
        <v>91</v>
      </c>
      <c r="BB3" t="s">
        <v>79</v>
      </c>
      <c r="BC3" t="s">
        <v>91</v>
      </c>
      <c r="BD3" t="s">
        <v>79</v>
      </c>
      <c r="BE3" t="s">
        <v>91</v>
      </c>
      <c r="BF3" t="s">
        <v>79</v>
      </c>
      <c r="BG3" t="s">
        <v>79</v>
      </c>
      <c r="BH3" t="s">
        <v>92</v>
      </c>
      <c r="BI3" t="s">
        <v>85</v>
      </c>
      <c r="BJ3">
        <f t="shared" si="0"/>
        <v>5</v>
      </c>
      <c r="BK3">
        <f>COUNTIF(AS3:BG3, "Correct") + COUNTIF(AS3:BG3, "Incorrect")</f>
        <v>15</v>
      </c>
      <c r="BL3">
        <v>5</v>
      </c>
      <c r="BM3">
        <v>15</v>
      </c>
      <c r="BN3" t="b">
        <f t="shared" ref="BN3:BN66" si="1">BJ3=BL3</f>
        <v>1</v>
      </c>
      <c r="BO3" t="b">
        <f t="shared" ref="BO3:BO66" si="2">BK3=BM3</f>
        <v>1</v>
      </c>
      <c r="BP3" t="b">
        <f t="shared" ref="BP3:BP66" si="3">NOT(AND(BN3, BO3))</f>
        <v>0</v>
      </c>
      <c r="BQ3" t="b">
        <v>0</v>
      </c>
      <c r="BR3">
        <f t="shared" ref="BR3:BR66" si="4">COUNTIF(AA3:AO3, "Correct")/BJ3</f>
        <v>1</v>
      </c>
      <c r="BS3">
        <f t="shared" ref="BS3:BS66" si="5">COUNTIF(AS3:BG3, "Correct")/BK3</f>
        <v>0.73333333333333328</v>
      </c>
    </row>
    <row r="4" spans="1:71" ht="20" customHeight="1" x14ac:dyDescent="0.2">
      <c r="A4" t="s">
        <v>94</v>
      </c>
      <c r="B4" s="1">
        <v>45780.62604166667</v>
      </c>
      <c r="C4" s="1">
        <v>45780.649039351854</v>
      </c>
      <c r="D4" t="s">
        <v>68</v>
      </c>
      <c r="E4" t="s">
        <v>93</v>
      </c>
      <c r="F4">
        <v>100</v>
      </c>
      <c r="G4">
        <v>1986</v>
      </c>
      <c r="H4" t="b">
        <v>1</v>
      </c>
      <c r="I4" s="1">
        <v>45780.649039351854</v>
      </c>
      <c r="J4" t="s">
        <v>94</v>
      </c>
      <c r="O4">
        <v>51.167000000000002</v>
      </c>
      <c r="P4">
        <v>0.23830000000000001</v>
      </c>
      <c r="Q4" t="s">
        <v>71</v>
      </c>
      <c r="R4" t="s">
        <v>72</v>
      </c>
      <c r="S4" t="s">
        <v>95</v>
      </c>
      <c r="T4" t="s">
        <v>96</v>
      </c>
      <c r="U4" t="s">
        <v>97</v>
      </c>
      <c r="V4" t="s">
        <v>76</v>
      </c>
      <c r="W4" t="s">
        <v>98</v>
      </c>
      <c r="X4" t="s">
        <v>77</v>
      </c>
      <c r="Z4" t="s">
        <v>99</v>
      </c>
      <c r="AA4" t="s">
        <v>79</v>
      </c>
      <c r="AB4" t="s">
        <v>79</v>
      </c>
      <c r="AC4" t="s">
        <v>91</v>
      </c>
      <c r="AD4" t="s">
        <v>91</v>
      </c>
      <c r="AE4" t="s">
        <v>79</v>
      </c>
      <c r="AF4" t="s">
        <v>79</v>
      </c>
      <c r="AG4" t="s">
        <v>79</v>
      </c>
      <c r="AH4" t="s">
        <v>80</v>
      </c>
      <c r="AI4" t="s">
        <v>80</v>
      </c>
      <c r="AJ4" t="s">
        <v>80</v>
      </c>
      <c r="AK4" t="s">
        <v>80</v>
      </c>
      <c r="AL4" t="s">
        <v>80</v>
      </c>
      <c r="AM4" t="s">
        <v>80</v>
      </c>
      <c r="AN4" t="s">
        <v>80</v>
      </c>
      <c r="AO4" t="s">
        <v>80</v>
      </c>
      <c r="AP4" t="s">
        <v>77</v>
      </c>
      <c r="AR4" t="s">
        <v>100</v>
      </c>
      <c r="AS4" t="s">
        <v>79</v>
      </c>
      <c r="AT4" t="s">
        <v>79</v>
      </c>
      <c r="AU4" t="s">
        <v>79</v>
      </c>
      <c r="AV4" t="s">
        <v>79</v>
      </c>
      <c r="AW4" t="s">
        <v>80</v>
      </c>
      <c r="AX4" t="s">
        <v>80</v>
      </c>
      <c r="AY4" t="s">
        <v>80</v>
      </c>
      <c r="AZ4" t="s">
        <v>80</v>
      </c>
      <c r="BA4" t="s">
        <v>80</v>
      </c>
      <c r="BB4" t="s">
        <v>80</v>
      </c>
      <c r="BC4" t="s">
        <v>80</v>
      </c>
      <c r="BD4" t="s">
        <v>80</v>
      </c>
      <c r="BE4" t="s">
        <v>80</v>
      </c>
      <c r="BF4" t="s">
        <v>80</v>
      </c>
      <c r="BG4" t="s">
        <v>80</v>
      </c>
      <c r="BH4" t="s">
        <v>82</v>
      </c>
      <c r="BI4" t="s">
        <v>95</v>
      </c>
      <c r="BJ4">
        <f t="shared" si="0"/>
        <v>7</v>
      </c>
      <c r="BK4">
        <f t="shared" ref="BK4:BK6" si="6">COUNTIF(AS4:BG4, "Correct") + COUNTIF(AS4:BG4, "Incorrect")</f>
        <v>4</v>
      </c>
      <c r="BL4">
        <v>7</v>
      </c>
      <c r="BM4">
        <v>4</v>
      </c>
      <c r="BN4" t="b">
        <f t="shared" si="1"/>
        <v>1</v>
      </c>
      <c r="BO4" t="b">
        <f t="shared" si="2"/>
        <v>1</v>
      </c>
      <c r="BP4" t="b">
        <f t="shared" si="3"/>
        <v>0</v>
      </c>
      <c r="BQ4" t="b">
        <v>0</v>
      </c>
      <c r="BR4">
        <f t="shared" si="4"/>
        <v>0.7142857142857143</v>
      </c>
      <c r="BS4">
        <f t="shared" si="5"/>
        <v>1</v>
      </c>
    </row>
    <row r="5" spans="1:71" ht="20" customHeight="1" x14ac:dyDescent="0.2">
      <c r="A5" t="s">
        <v>102</v>
      </c>
      <c r="B5" s="1">
        <v>45780.63009259259</v>
      </c>
      <c r="C5" s="1">
        <v>45780.651759259257</v>
      </c>
      <c r="D5" t="s">
        <v>68</v>
      </c>
      <c r="E5" t="s">
        <v>101</v>
      </c>
      <c r="F5">
        <v>100</v>
      </c>
      <c r="G5">
        <v>1871</v>
      </c>
      <c r="H5" t="b">
        <v>1</v>
      </c>
      <c r="I5" s="1">
        <v>45780.651759259257</v>
      </c>
      <c r="J5" t="s">
        <v>102</v>
      </c>
      <c r="O5">
        <v>51.618699999999997</v>
      </c>
      <c r="P5">
        <v>-0.1154</v>
      </c>
      <c r="Q5" t="s">
        <v>71</v>
      </c>
      <c r="R5" t="s">
        <v>72</v>
      </c>
      <c r="S5" t="s">
        <v>103</v>
      </c>
      <c r="T5" t="s">
        <v>104</v>
      </c>
      <c r="U5" t="s">
        <v>105</v>
      </c>
      <c r="V5" t="s">
        <v>76</v>
      </c>
      <c r="X5" t="s">
        <v>77</v>
      </c>
      <c r="Z5" t="s">
        <v>106</v>
      </c>
      <c r="AA5" t="s">
        <v>79</v>
      </c>
      <c r="AB5" t="s">
        <v>79</v>
      </c>
      <c r="AC5" t="s">
        <v>79</v>
      </c>
      <c r="AD5" t="s">
        <v>79</v>
      </c>
      <c r="AE5" t="s">
        <v>79</v>
      </c>
      <c r="AF5" t="s">
        <v>79</v>
      </c>
      <c r="AG5" t="s">
        <v>79</v>
      </c>
      <c r="AH5" t="s">
        <v>79</v>
      </c>
      <c r="AI5" t="s">
        <v>79</v>
      </c>
      <c r="AJ5" t="s">
        <v>79</v>
      </c>
      <c r="AK5" t="s">
        <v>79</v>
      </c>
      <c r="AL5" t="s">
        <v>91</v>
      </c>
      <c r="AM5" t="s">
        <v>79</v>
      </c>
      <c r="AN5" t="s">
        <v>91</v>
      </c>
      <c r="AO5" t="s">
        <v>80</v>
      </c>
      <c r="AP5" t="s">
        <v>77</v>
      </c>
      <c r="AR5" t="s">
        <v>107</v>
      </c>
      <c r="AS5" t="s">
        <v>79</v>
      </c>
      <c r="AT5" t="s">
        <v>79</v>
      </c>
      <c r="AU5" t="s">
        <v>79</v>
      </c>
      <c r="AV5" t="s">
        <v>79</v>
      </c>
      <c r="AW5" t="s">
        <v>79</v>
      </c>
      <c r="AX5" t="s">
        <v>805</v>
      </c>
      <c r="AY5" t="s">
        <v>79</v>
      </c>
      <c r="AZ5" t="s">
        <v>91</v>
      </c>
      <c r="BA5" t="s">
        <v>91</v>
      </c>
      <c r="BB5" t="s">
        <v>91</v>
      </c>
      <c r="BC5" t="s">
        <v>80</v>
      </c>
      <c r="BD5" t="s">
        <v>80</v>
      </c>
      <c r="BE5" t="s">
        <v>80</v>
      </c>
      <c r="BF5" t="s">
        <v>80</v>
      </c>
      <c r="BG5" t="s">
        <v>80</v>
      </c>
      <c r="BH5" t="s">
        <v>92</v>
      </c>
      <c r="BI5" t="s">
        <v>103</v>
      </c>
      <c r="BJ5">
        <f t="shared" si="0"/>
        <v>14</v>
      </c>
      <c r="BK5">
        <f t="shared" si="6"/>
        <v>10</v>
      </c>
      <c r="BL5">
        <v>14</v>
      </c>
      <c r="BM5">
        <v>10</v>
      </c>
      <c r="BN5" t="b">
        <f t="shared" si="1"/>
        <v>1</v>
      </c>
      <c r="BO5" t="b">
        <f t="shared" si="2"/>
        <v>1</v>
      </c>
      <c r="BP5" t="b">
        <f t="shared" si="3"/>
        <v>0</v>
      </c>
      <c r="BQ5" t="b">
        <v>0</v>
      </c>
      <c r="BR5">
        <f t="shared" si="4"/>
        <v>0.8571428571428571</v>
      </c>
      <c r="BS5">
        <f t="shared" si="5"/>
        <v>0.6</v>
      </c>
    </row>
    <row r="6" spans="1:71" ht="20" customHeight="1" x14ac:dyDescent="0.2">
      <c r="A6" t="s">
        <v>109</v>
      </c>
      <c r="B6" s="1">
        <v>45783.934293981481</v>
      </c>
      <c r="C6" s="1">
        <v>45783.953483796293</v>
      </c>
      <c r="D6" t="s">
        <v>68</v>
      </c>
      <c r="E6" t="s">
        <v>108</v>
      </c>
      <c r="F6">
        <v>100</v>
      </c>
      <c r="G6">
        <v>1657</v>
      </c>
      <c r="H6" t="b">
        <v>1</v>
      </c>
      <c r="I6" s="1">
        <v>45783.95349537037</v>
      </c>
      <c r="J6" t="s">
        <v>109</v>
      </c>
      <c r="O6">
        <v>51.118899999999996</v>
      </c>
      <c r="P6">
        <v>-8.1799999999999998E-2</v>
      </c>
      <c r="Q6" t="s">
        <v>71</v>
      </c>
      <c r="R6" t="s">
        <v>72</v>
      </c>
      <c r="S6" t="s">
        <v>110</v>
      </c>
      <c r="T6" t="s">
        <v>111</v>
      </c>
      <c r="U6" t="s">
        <v>112</v>
      </c>
      <c r="V6" t="s">
        <v>76</v>
      </c>
      <c r="X6" t="s">
        <v>113</v>
      </c>
      <c r="Y6" s="2" t="s">
        <v>114</v>
      </c>
      <c r="Z6" t="s">
        <v>115</v>
      </c>
      <c r="AA6" t="s">
        <v>805</v>
      </c>
      <c r="AB6" t="s">
        <v>80</v>
      </c>
      <c r="AC6" t="s">
        <v>80</v>
      </c>
      <c r="AD6" t="s">
        <v>80</v>
      </c>
      <c r="AE6" t="s">
        <v>80</v>
      </c>
      <c r="AF6" t="s">
        <v>80</v>
      </c>
      <c r="AG6" t="s">
        <v>80</v>
      </c>
      <c r="AH6" t="s">
        <v>80</v>
      </c>
      <c r="AI6" t="s">
        <v>80</v>
      </c>
      <c r="AJ6" t="s">
        <v>80</v>
      </c>
      <c r="AK6" t="s">
        <v>80</v>
      </c>
      <c r="AL6" t="s">
        <v>80</v>
      </c>
      <c r="AM6" t="s">
        <v>80</v>
      </c>
      <c r="AN6" t="s">
        <v>80</v>
      </c>
      <c r="AO6" t="s">
        <v>80</v>
      </c>
      <c r="AP6" t="s">
        <v>77</v>
      </c>
      <c r="AR6" t="s">
        <v>116</v>
      </c>
      <c r="AS6" t="s">
        <v>79</v>
      </c>
      <c r="AT6" t="s">
        <v>79</v>
      </c>
      <c r="AU6" t="s">
        <v>79</v>
      </c>
      <c r="AV6" t="s">
        <v>79</v>
      </c>
      <c r="AW6" t="s">
        <v>79</v>
      </c>
      <c r="AX6" t="s">
        <v>79</v>
      </c>
      <c r="AY6" t="s">
        <v>79</v>
      </c>
      <c r="AZ6" t="s">
        <v>80</v>
      </c>
      <c r="BA6" t="s">
        <v>80</v>
      </c>
      <c r="BB6" t="s">
        <v>80</v>
      </c>
      <c r="BC6" t="s">
        <v>80</v>
      </c>
      <c r="BD6" t="s">
        <v>80</v>
      </c>
      <c r="BE6" t="s">
        <v>80</v>
      </c>
      <c r="BF6" t="s">
        <v>80</v>
      </c>
      <c r="BG6" t="s">
        <v>80</v>
      </c>
      <c r="BH6" t="s">
        <v>82</v>
      </c>
      <c r="BI6" t="s">
        <v>110</v>
      </c>
      <c r="BJ6">
        <f t="shared" si="0"/>
        <v>1</v>
      </c>
      <c r="BK6">
        <f t="shared" si="6"/>
        <v>7</v>
      </c>
      <c r="BL6">
        <v>1</v>
      </c>
      <c r="BM6">
        <v>7</v>
      </c>
      <c r="BN6" t="b">
        <f t="shared" si="1"/>
        <v>1</v>
      </c>
      <c r="BO6" t="b">
        <f t="shared" si="2"/>
        <v>1</v>
      </c>
      <c r="BP6" t="b">
        <f t="shared" si="3"/>
        <v>0</v>
      </c>
      <c r="BQ6" t="b">
        <v>0</v>
      </c>
      <c r="BR6">
        <f t="shared" si="4"/>
        <v>0</v>
      </c>
      <c r="BS6">
        <f t="shared" si="5"/>
        <v>1</v>
      </c>
    </row>
    <row r="7" spans="1:71" ht="20" customHeight="1" x14ac:dyDescent="0.2">
      <c r="A7" t="s">
        <v>118</v>
      </c>
      <c r="B7" s="1">
        <v>45783.932847222219</v>
      </c>
      <c r="C7" s="1">
        <v>45783.958749999998</v>
      </c>
      <c r="D7" t="s">
        <v>68</v>
      </c>
      <c r="E7" t="s">
        <v>117</v>
      </c>
      <c r="F7">
        <v>100</v>
      </c>
      <c r="G7">
        <v>2238</v>
      </c>
      <c r="H7" t="b">
        <v>1</v>
      </c>
      <c r="I7" s="1">
        <v>45783.958749999998</v>
      </c>
      <c r="J7" t="s">
        <v>118</v>
      </c>
      <c r="O7">
        <v>41.848599999999998</v>
      </c>
      <c r="P7">
        <v>-87.628799999999998</v>
      </c>
      <c r="Q7" t="s">
        <v>71</v>
      </c>
      <c r="R7" t="s">
        <v>72</v>
      </c>
      <c r="S7" t="s">
        <v>119</v>
      </c>
      <c r="T7" t="s">
        <v>120</v>
      </c>
      <c r="U7" t="s">
        <v>121</v>
      </c>
      <c r="V7" t="s">
        <v>76</v>
      </c>
      <c r="W7" t="s">
        <v>122</v>
      </c>
      <c r="X7" t="s">
        <v>77</v>
      </c>
      <c r="Z7" t="s">
        <v>123</v>
      </c>
      <c r="AA7" t="s">
        <v>79</v>
      </c>
      <c r="AB7" t="s">
        <v>91</v>
      </c>
      <c r="AC7" t="s">
        <v>91</v>
      </c>
      <c r="AD7" t="s">
        <v>91</v>
      </c>
      <c r="AE7" t="s">
        <v>80</v>
      </c>
      <c r="AF7" t="s">
        <v>80</v>
      </c>
      <c r="AG7" t="s">
        <v>80</v>
      </c>
      <c r="AH7" t="s">
        <v>80</v>
      </c>
      <c r="AI7" t="s">
        <v>80</v>
      </c>
      <c r="AJ7" t="s">
        <v>80</v>
      </c>
      <c r="AK7" t="s">
        <v>80</v>
      </c>
      <c r="AL7" t="s">
        <v>80</v>
      </c>
      <c r="AM7" t="s">
        <v>80</v>
      </c>
      <c r="AN7" t="s">
        <v>80</v>
      </c>
      <c r="AO7" t="s">
        <v>80</v>
      </c>
      <c r="AP7" t="s">
        <v>77</v>
      </c>
      <c r="AR7" t="s">
        <v>124</v>
      </c>
      <c r="AS7" t="s">
        <v>79</v>
      </c>
      <c r="AT7" t="s">
        <v>79</v>
      </c>
      <c r="AU7" t="s">
        <v>79</v>
      </c>
      <c r="AV7" t="s">
        <v>79</v>
      </c>
      <c r="AW7" t="s">
        <v>91</v>
      </c>
      <c r="AX7" t="s">
        <v>91</v>
      </c>
      <c r="AY7" t="s">
        <v>91</v>
      </c>
      <c r="AZ7" t="s">
        <v>91</v>
      </c>
      <c r="BA7" t="s">
        <v>91</v>
      </c>
      <c r="BB7" t="s">
        <v>79</v>
      </c>
      <c r="BC7" t="s">
        <v>79</v>
      </c>
      <c r="BD7" t="s">
        <v>79</v>
      </c>
      <c r="BE7" t="s">
        <v>80</v>
      </c>
      <c r="BF7" t="s">
        <v>80</v>
      </c>
      <c r="BG7" t="s">
        <v>80</v>
      </c>
      <c r="BH7" t="s">
        <v>82</v>
      </c>
      <c r="BI7" t="s">
        <v>119</v>
      </c>
      <c r="BJ7">
        <f t="shared" si="0"/>
        <v>4</v>
      </c>
      <c r="BK7">
        <f>COUNTIF(AS7:BG7, "Correct") + COUNTIF(AS7:BG7, "Incorrect")</f>
        <v>12</v>
      </c>
      <c r="BL7">
        <v>4</v>
      </c>
      <c r="BM7">
        <v>12</v>
      </c>
      <c r="BN7" t="b">
        <f t="shared" si="1"/>
        <v>1</v>
      </c>
      <c r="BO7" t="b">
        <f t="shared" si="2"/>
        <v>1</v>
      </c>
      <c r="BP7" t="b">
        <f t="shared" si="3"/>
        <v>0</v>
      </c>
      <c r="BQ7" t="b">
        <v>0</v>
      </c>
      <c r="BR7">
        <f t="shared" si="4"/>
        <v>0.25</v>
      </c>
      <c r="BS7">
        <f t="shared" si="5"/>
        <v>0.58333333333333337</v>
      </c>
    </row>
    <row r="8" spans="1:71" ht="20" customHeight="1" x14ac:dyDescent="0.2">
      <c r="A8" t="s">
        <v>126</v>
      </c>
      <c r="B8" s="1">
        <v>45784.373888888891</v>
      </c>
      <c r="C8" s="1">
        <v>45784.395497685182</v>
      </c>
      <c r="D8" t="s">
        <v>68</v>
      </c>
      <c r="E8" t="s">
        <v>125</v>
      </c>
      <c r="F8">
        <v>100</v>
      </c>
      <c r="G8">
        <v>1866</v>
      </c>
      <c r="H8" t="b">
        <v>1</v>
      </c>
      <c r="I8" s="1">
        <v>45784.395497685182</v>
      </c>
      <c r="J8" t="s">
        <v>126</v>
      </c>
      <c r="O8">
        <v>35.073700000000002</v>
      </c>
      <c r="P8">
        <v>-78.888300000000001</v>
      </c>
      <c r="Q8" t="s">
        <v>71</v>
      </c>
      <c r="R8" t="s">
        <v>72</v>
      </c>
      <c r="S8" t="s">
        <v>127</v>
      </c>
      <c r="T8" t="s">
        <v>128</v>
      </c>
      <c r="U8" t="s">
        <v>129</v>
      </c>
      <c r="V8" t="s">
        <v>76</v>
      </c>
      <c r="W8" t="s">
        <v>130</v>
      </c>
      <c r="X8" t="s">
        <v>77</v>
      </c>
      <c r="Z8" t="s">
        <v>131</v>
      </c>
      <c r="AA8" t="s">
        <v>79</v>
      </c>
      <c r="AB8" t="s">
        <v>79</v>
      </c>
      <c r="AC8" t="s">
        <v>79</v>
      </c>
      <c r="AD8" t="s">
        <v>80</v>
      </c>
      <c r="AE8" t="s">
        <v>80</v>
      </c>
      <c r="AF8" t="s">
        <v>80</v>
      </c>
      <c r="AG8" t="s">
        <v>80</v>
      </c>
      <c r="AH8" t="s">
        <v>80</v>
      </c>
      <c r="AI8" t="s">
        <v>80</v>
      </c>
      <c r="AJ8" t="s">
        <v>80</v>
      </c>
      <c r="AK8" t="s">
        <v>80</v>
      </c>
      <c r="AL8" t="s">
        <v>80</v>
      </c>
      <c r="AM8" t="s">
        <v>80</v>
      </c>
      <c r="AN8" t="s">
        <v>80</v>
      </c>
      <c r="AO8" t="s">
        <v>80</v>
      </c>
      <c r="AP8" t="s">
        <v>77</v>
      </c>
      <c r="AR8" t="s">
        <v>132</v>
      </c>
      <c r="AS8" t="s">
        <v>79</v>
      </c>
      <c r="AT8" t="s">
        <v>79</v>
      </c>
      <c r="AU8" t="s">
        <v>79</v>
      </c>
      <c r="AV8" t="s">
        <v>80</v>
      </c>
      <c r="AW8" t="s">
        <v>80</v>
      </c>
      <c r="AX8" t="s">
        <v>80</v>
      </c>
      <c r="AY8" t="s">
        <v>80</v>
      </c>
      <c r="AZ8" t="s">
        <v>80</v>
      </c>
      <c r="BA8" t="s">
        <v>80</v>
      </c>
      <c r="BB8" t="s">
        <v>80</v>
      </c>
      <c r="BC8" t="s">
        <v>80</v>
      </c>
      <c r="BD8" t="s">
        <v>80</v>
      </c>
      <c r="BE8" t="s">
        <v>80</v>
      </c>
      <c r="BF8" t="s">
        <v>80</v>
      </c>
      <c r="BG8" t="s">
        <v>80</v>
      </c>
      <c r="BH8" t="s">
        <v>92</v>
      </c>
      <c r="BI8" t="s">
        <v>127</v>
      </c>
      <c r="BJ8">
        <f t="shared" si="0"/>
        <v>3</v>
      </c>
      <c r="BK8">
        <f>COUNTIF(AS8:BG8, "Correct") + COUNTIF(AS8:BG8, "Incorrect")</f>
        <v>3</v>
      </c>
      <c r="BL8">
        <v>3</v>
      </c>
      <c r="BM8">
        <v>3</v>
      </c>
      <c r="BN8" t="b">
        <f t="shared" si="1"/>
        <v>1</v>
      </c>
      <c r="BO8" t="b">
        <f t="shared" si="2"/>
        <v>1</v>
      </c>
      <c r="BP8" t="b">
        <f t="shared" si="3"/>
        <v>0</v>
      </c>
      <c r="BQ8" t="b">
        <v>0</v>
      </c>
      <c r="BR8">
        <f t="shared" si="4"/>
        <v>1</v>
      </c>
      <c r="BS8">
        <f t="shared" si="5"/>
        <v>1</v>
      </c>
    </row>
    <row r="9" spans="1:71" ht="20" customHeight="1" x14ac:dyDescent="0.2">
      <c r="A9" t="s">
        <v>134</v>
      </c>
      <c r="B9" s="1">
        <v>45786.580405092594</v>
      </c>
      <c r="C9" s="1">
        <v>45786.591481481482</v>
      </c>
      <c r="D9" t="s">
        <v>68</v>
      </c>
      <c r="E9" t="s">
        <v>133</v>
      </c>
      <c r="F9">
        <v>100</v>
      </c>
      <c r="G9">
        <v>956</v>
      </c>
      <c r="H9" t="b">
        <v>1</v>
      </c>
      <c r="I9" s="1">
        <v>45786.591481481482</v>
      </c>
      <c r="J9" t="s">
        <v>134</v>
      </c>
      <c r="O9">
        <v>51.480499999999999</v>
      </c>
      <c r="P9">
        <v>-1.1299999999999999E-2</v>
      </c>
      <c r="Q9" t="s">
        <v>71</v>
      </c>
      <c r="R9" t="s">
        <v>72</v>
      </c>
      <c r="S9" t="s">
        <v>135</v>
      </c>
      <c r="T9" t="s">
        <v>136</v>
      </c>
      <c r="U9" t="s">
        <v>137</v>
      </c>
      <c r="V9" t="s">
        <v>76</v>
      </c>
      <c r="X9" t="s">
        <v>77</v>
      </c>
      <c r="Z9" t="s">
        <v>138</v>
      </c>
      <c r="AA9" t="s">
        <v>79</v>
      </c>
      <c r="AB9" t="s">
        <v>79</v>
      </c>
      <c r="AC9" t="s">
        <v>91</v>
      </c>
      <c r="AD9" t="s">
        <v>80</v>
      </c>
      <c r="AE9" t="s">
        <v>80</v>
      </c>
      <c r="AF9" t="s">
        <v>80</v>
      </c>
      <c r="AG9" t="s">
        <v>80</v>
      </c>
      <c r="AH9" t="s">
        <v>80</v>
      </c>
      <c r="AI9" t="s">
        <v>80</v>
      </c>
      <c r="AJ9" t="s">
        <v>80</v>
      </c>
      <c r="AK9" t="s">
        <v>80</v>
      </c>
      <c r="AL9" t="s">
        <v>80</v>
      </c>
      <c r="AM9" t="s">
        <v>80</v>
      </c>
      <c r="AN9" t="s">
        <v>80</v>
      </c>
      <c r="AO9" t="s">
        <v>80</v>
      </c>
      <c r="AP9" t="s">
        <v>77</v>
      </c>
      <c r="AR9" t="s">
        <v>139</v>
      </c>
      <c r="AS9" t="s">
        <v>79</v>
      </c>
      <c r="AT9" t="s">
        <v>79</v>
      </c>
      <c r="AU9" t="s">
        <v>79</v>
      </c>
      <c r="AV9" t="s">
        <v>91</v>
      </c>
      <c r="AW9" t="s">
        <v>91</v>
      </c>
      <c r="AX9" t="s">
        <v>80</v>
      </c>
      <c r="AY9" t="s">
        <v>80</v>
      </c>
      <c r="AZ9" t="s">
        <v>80</v>
      </c>
      <c r="BA9" t="s">
        <v>80</v>
      </c>
      <c r="BB9" t="s">
        <v>80</v>
      </c>
      <c r="BC9" t="s">
        <v>80</v>
      </c>
      <c r="BD9" t="s">
        <v>80</v>
      </c>
      <c r="BE9" t="s">
        <v>80</v>
      </c>
      <c r="BF9" t="s">
        <v>80</v>
      </c>
      <c r="BG9" t="s">
        <v>80</v>
      </c>
      <c r="BH9" t="s">
        <v>92</v>
      </c>
      <c r="BI9" t="s">
        <v>135</v>
      </c>
      <c r="BJ9">
        <f t="shared" si="0"/>
        <v>3</v>
      </c>
      <c r="BK9">
        <f t="shared" ref="BK9:BK11" si="7">COUNTIF(AS9:BG9, "Correct") + COUNTIF(AS9:BG9, "Incorrect")</f>
        <v>5</v>
      </c>
      <c r="BL9">
        <v>3</v>
      </c>
      <c r="BM9">
        <v>5</v>
      </c>
      <c r="BN9" t="b">
        <f t="shared" si="1"/>
        <v>1</v>
      </c>
      <c r="BO9" t="b">
        <f t="shared" si="2"/>
        <v>1</v>
      </c>
      <c r="BP9" t="b">
        <f t="shared" si="3"/>
        <v>0</v>
      </c>
      <c r="BQ9" t="b">
        <v>0</v>
      </c>
      <c r="BR9">
        <f t="shared" si="4"/>
        <v>0.66666666666666663</v>
      </c>
      <c r="BS9">
        <f t="shared" si="5"/>
        <v>0.6</v>
      </c>
    </row>
    <row r="10" spans="1:71" ht="20" customHeight="1" x14ac:dyDescent="0.2">
      <c r="A10" t="s">
        <v>141</v>
      </c>
      <c r="B10" s="1">
        <v>45786.590081018519</v>
      </c>
      <c r="C10" s="1">
        <v>45786.601180555554</v>
      </c>
      <c r="D10" t="s">
        <v>68</v>
      </c>
      <c r="E10" t="s">
        <v>140</v>
      </c>
      <c r="F10">
        <v>100</v>
      </c>
      <c r="G10">
        <v>958</v>
      </c>
      <c r="H10" t="b">
        <v>1</v>
      </c>
      <c r="I10" s="1">
        <v>45786.601180555554</v>
      </c>
      <c r="J10" t="s">
        <v>141</v>
      </c>
      <c r="O10">
        <v>43.850299999999997</v>
      </c>
      <c r="P10">
        <v>-79.512799999999999</v>
      </c>
      <c r="Q10" t="s">
        <v>71</v>
      </c>
      <c r="R10" t="s">
        <v>72</v>
      </c>
      <c r="S10" t="s">
        <v>142</v>
      </c>
      <c r="T10" t="s">
        <v>143</v>
      </c>
      <c r="U10" t="s">
        <v>144</v>
      </c>
      <c r="V10" t="s">
        <v>76</v>
      </c>
      <c r="X10" t="s">
        <v>77</v>
      </c>
      <c r="Z10" t="s">
        <v>145</v>
      </c>
      <c r="AA10" t="s">
        <v>79</v>
      </c>
      <c r="AB10" t="s">
        <v>79</v>
      </c>
      <c r="AC10" t="s">
        <v>91</v>
      </c>
      <c r="AD10" t="s">
        <v>80</v>
      </c>
      <c r="AE10" t="s">
        <v>80</v>
      </c>
      <c r="AF10" t="s">
        <v>80</v>
      </c>
      <c r="AG10" t="s">
        <v>80</v>
      </c>
      <c r="AH10" t="s">
        <v>80</v>
      </c>
      <c r="AI10" t="s">
        <v>80</v>
      </c>
      <c r="AJ10" t="s">
        <v>80</v>
      </c>
      <c r="AK10" t="s">
        <v>80</v>
      </c>
      <c r="AL10" t="s">
        <v>80</v>
      </c>
      <c r="AM10" t="s">
        <v>80</v>
      </c>
      <c r="AN10" t="s">
        <v>80</v>
      </c>
      <c r="AO10" t="s">
        <v>80</v>
      </c>
      <c r="AP10" t="s">
        <v>77</v>
      </c>
      <c r="AR10" t="s">
        <v>146</v>
      </c>
      <c r="AS10" t="s">
        <v>79</v>
      </c>
      <c r="AT10" t="s">
        <v>79</v>
      </c>
      <c r="AU10" t="s">
        <v>91</v>
      </c>
      <c r="AV10" t="s">
        <v>91</v>
      </c>
      <c r="AW10" t="s">
        <v>80</v>
      </c>
      <c r="AX10" t="s">
        <v>80</v>
      </c>
      <c r="AY10" t="s">
        <v>80</v>
      </c>
      <c r="AZ10" t="s">
        <v>80</v>
      </c>
      <c r="BA10" t="s">
        <v>80</v>
      </c>
      <c r="BB10" t="s">
        <v>80</v>
      </c>
      <c r="BC10" t="s">
        <v>80</v>
      </c>
      <c r="BD10" t="s">
        <v>80</v>
      </c>
      <c r="BE10" t="s">
        <v>80</v>
      </c>
      <c r="BF10" t="s">
        <v>80</v>
      </c>
      <c r="BG10" t="s">
        <v>80</v>
      </c>
      <c r="BH10" t="s">
        <v>92</v>
      </c>
      <c r="BI10" t="s">
        <v>142</v>
      </c>
      <c r="BJ10">
        <f t="shared" si="0"/>
        <v>3</v>
      </c>
      <c r="BK10">
        <f t="shared" si="7"/>
        <v>4</v>
      </c>
      <c r="BL10">
        <v>3</v>
      </c>
      <c r="BM10">
        <v>4</v>
      </c>
      <c r="BN10" t="b">
        <f t="shared" si="1"/>
        <v>1</v>
      </c>
      <c r="BO10" t="b">
        <f t="shared" si="2"/>
        <v>1</v>
      </c>
      <c r="BP10" t="b">
        <f t="shared" si="3"/>
        <v>0</v>
      </c>
      <c r="BQ10" t="b">
        <v>0</v>
      </c>
      <c r="BR10">
        <f t="shared" si="4"/>
        <v>0.66666666666666663</v>
      </c>
      <c r="BS10">
        <f t="shared" si="5"/>
        <v>0.5</v>
      </c>
    </row>
    <row r="11" spans="1:71" ht="20" customHeight="1" x14ac:dyDescent="0.2">
      <c r="A11" t="s">
        <v>148</v>
      </c>
      <c r="B11" s="1">
        <v>45786.578796296293</v>
      </c>
      <c r="C11" s="1">
        <v>45786.603148148148</v>
      </c>
      <c r="D11" t="s">
        <v>68</v>
      </c>
      <c r="E11" t="s">
        <v>147</v>
      </c>
      <c r="F11">
        <v>100</v>
      </c>
      <c r="G11">
        <v>2104</v>
      </c>
      <c r="H11" t="b">
        <v>1</v>
      </c>
      <c r="I11" s="1">
        <v>45786.603159722225</v>
      </c>
      <c r="J11" t="s">
        <v>148</v>
      </c>
      <c r="O11">
        <v>40.262599999999999</v>
      </c>
      <c r="P11">
        <v>-80.187299999999993</v>
      </c>
      <c r="Q11" t="s">
        <v>71</v>
      </c>
      <c r="R11" t="s">
        <v>72</v>
      </c>
      <c r="S11" t="s">
        <v>149</v>
      </c>
      <c r="T11" t="s">
        <v>150</v>
      </c>
      <c r="U11" t="s">
        <v>151</v>
      </c>
      <c r="V11" t="s">
        <v>76</v>
      </c>
      <c r="X11" t="s">
        <v>77</v>
      </c>
      <c r="Z11" t="s">
        <v>152</v>
      </c>
      <c r="AA11" t="s">
        <v>79</v>
      </c>
      <c r="AB11" t="s">
        <v>79</v>
      </c>
      <c r="AC11" t="s">
        <v>79</v>
      </c>
      <c r="AD11" t="s">
        <v>79</v>
      </c>
      <c r="AE11" t="s">
        <v>79</v>
      </c>
      <c r="AF11" t="s">
        <v>79</v>
      </c>
      <c r="AG11" t="s">
        <v>79</v>
      </c>
      <c r="AH11" t="s">
        <v>80</v>
      </c>
      <c r="AI11" t="s">
        <v>80</v>
      </c>
      <c r="AJ11" t="s">
        <v>80</v>
      </c>
      <c r="AK11" t="s">
        <v>80</v>
      </c>
      <c r="AL11" t="s">
        <v>80</v>
      </c>
      <c r="AM11" t="s">
        <v>80</v>
      </c>
      <c r="AN11" t="s">
        <v>80</v>
      </c>
      <c r="AO11" t="s">
        <v>80</v>
      </c>
      <c r="AP11" t="s">
        <v>77</v>
      </c>
      <c r="AR11" t="s">
        <v>153</v>
      </c>
      <c r="AS11" t="s">
        <v>79</v>
      </c>
      <c r="AT11" t="s">
        <v>91</v>
      </c>
      <c r="AU11" t="s">
        <v>80</v>
      </c>
      <c r="AV11" t="s">
        <v>80</v>
      </c>
      <c r="AW11" t="s">
        <v>80</v>
      </c>
      <c r="AX11" t="s">
        <v>80</v>
      </c>
      <c r="AY11" t="s">
        <v>80</v>
      </c>
      <c r="AZ11" t="s">
        <v>80</v>
      </c>
      <c r="BA11" t="s">
        <v>80</v>
      </c>
      <c r="BB11" t="s">
        <v>80</v>
      </c>
      <c r="BC11" t="s">
        <v>80</v>
      </c>
      <c r="BD11" t="s">
        <v>80</v>
      </c>
      <c r="BE11" t="s">
        <v>80</v>
      </c>
      <c r="BF11" t="s">
        <v>80</v>
      </c>
      <c r="BG11" t="s">
        <v>80</v>
      </c>
      <c r="BH11" t="s">
        <v>92</v>
      </c>
      <c r="BI11" t="s">
        <v>149</v>
      </c>
      <c r="BJ11">
        <f t="shared" si="0"/>
        <v>7</v>
      </c>
      <c r="BK11">
        <f t="shared" si="7"/>
        <v>2</v>
      </c>
      <c r="BL11">
        <v>7</v>
      </c>
      <c r="BM11">
        <v>2</v>
      </c>
      <c r="BN11" t="b">
        <f t="shared" si="1"/>
        <v>1</v>
      </c>
      <c r="BO11" t="b">
        <f t="shared" si="2"/>
        <v>1</v>
      </c>
      <c r="BP11" t="b">
        <f t="shared" si="3"/>
        <v>0</v>
      </c>
      <c r="BQ11" t="b">
        <v>0</v>
      </c>
      <c r="BR11">
        <f t="shared" si="4"/>
        <v>1</v>
      </c>
      <c r="BS11">
        <f t="shared" si="5"/>
        <v>0.5</v>
      </c>
    </row>
    <row r="12" spans="1:71" ht="20" customHeight="1" x14ac:dyDescent="0.2">
      <c r="A12" t="s">
        <v>155</v>
      </c>
      <c r="B12" s="1">
        <v>45786.621620370373</v>
      </c>
      <c r="C12" s="1">
        <v>45786.63484953704</v>
      </c>
      <c r="D12" t="s">
        <v>68</v>
      </c>
      <c r="E12" t="s">
        <v>154</v>
      </c>
      <c r="F12">
        <v>100</v>
      </c>
      <c r="G12">
        <v>1143</v>
      </c>
      <c r="H12" t="b">
        <v>1</v>
      </c>
      <c r="I12" s="1">
        <v>45786.63486111111</v>
      </c>
      <c r="J12" t="s">
        <v>155</v>
      </c>
      <c r="O12">
        <v>51.553899999999999</v>
      </c>
      <c r="P12">
        <v>4.87E-2</v>
      </c>
      <c r="Q12" t="s">
        <v>71</v>
      </c>
      <c r="R12" t="s">
        <v>72</v>
      </c>
      <c r="S12" t="s">
        <v>156</v>
      </c>
      <c r="T12" t="s">
        <v>157</v>
      </c>
      <c r="U12" t="s">
        <v>158</v>
      </c>
      <c r="V12" t="s">
        <v>76</v>
      </c>
      <c r="W12" t="s">
        <v>159</v>
      </c>
      <c r="X12" t="s">
        <v>77</v>
      </c>
      <c r="Z12" t="s">
        <v>160</v>
      </c>
      <c r="AA12" t="s">
        <v>79</v>
      </c>
      <c r="AB12" t="s">
        <v>79</v>
      </c>
      <c r="AC12" t="s">
        <v>79</v>
      </c>
      <c r="AD12" t="s">
        <v>79</v>
      </c>
      <c r="AE12" t="s">
        <v>79</v>
      </c>
      <c r="AF12" t="s">
        <v>79</v>
      </c>
      <c r="AG12" t="s">
        <v>79</v>
      </c>
      <c r="AH12" t="s">
        <v>80</v>
      </c>
      <c r="AI12" t="s">
        <v>80</v>
      </c>
      <c r="AJ12" t="s">
        <v>80</v>
      </c>
      <c r="AK12" t="s">
        <v>80</v>
      </c>
      <c r="AL12" t="s">
        <v>80</v>
      </c>
      <c r="AM12" t="s">
        <v>80</v>
      </c>
      <c r="AN12" t="s">
        <v>80</v>
      </c>
      <c r="AO12" t="s">
        <v>80</v>
      </c>
      <c r="AP12" t="s">
        <v>77</v>
      </c>
      <c r="AR12" t="s">
        <v>161</v>
      </c>
      <c r="AS12" t="s">
        <v>79</v>
      </c>
      <c r="AT12" t="s">
        <v>79</v>
      </c>
      <c r="AU12" t="s">
        <v>79</v>
      </c>
      <c r="AV12" t="s">
        <v>79</v>
      </c>
      <c r="AW12" t="s">
        <v>79</v>
      </c>
      <c r="AX12" t="s">
        <v>79</v>
      </c>
      <c r="AY12" t="s">
        <v>91</v>
      </c>
      <c r="AZ12" t="s">
        <v>80</v>
      </c>
      <c r="BA12" t="s">
        <v>80</v>
      </c>
      <c r="BB12" t="s">
        <v>80</v>
      </c>
      <c r="BC12" t="s">
        <v>80</v>
      </c>
      <c r="BD12" t="s">
        <v>80</v>
      </c>
      <c r="BE12" t="s">
        <v>80</v>
      </c>
      <c r="BF12" t="s">
        <v>80</v>
      </c>
      <c r="BG12" t="s">
        <v>80</v>
      </c>
      <c r="BH12" t="s">
        <v>92</v>
      </c>
      <c r="BI12" t="s">
        <v>156</v>
      </c>
      <c r="BJ12">
        <f t="shared" si="0"/>
        <v>7</v>
      </c>
      <c r="BK12">
        <f>COUNTIF(AS12:BG12, "Correct") + COUNTIF(AS12:BG12, "Incorrect")</f>
        <v>7</v>
      </c>
      <c r="BL12">
        <v>7</v>
      </c>
      <c r="BM12">
        <v>7</v>
      </c>
      <c r="BN12" t="b">
        <f t="shared" si="1"/>
        <v>1</v>
      </c>
      <c r="BO12" t="b">
        <f t="shared" si="2"/>
        <v>1</v>
      </c>
      <c r="BP12" t="b">
        <f t="shared" si="3"/>
        <v>0</v>
      </c>
      <c r="BQ12" t="b">
        <v>0</v>
      </c>
      <c r="BR12">
        <f t="shared" si="4"/>
        <v>1</v>
      </c>
      <c r="BS12">
        <f t="shared" si="5"/>
        <v>0.8571428571428571</v>
      </c>
    </row>
    <row r="13" spans="1:71" ht="20" customHeight="1" x14ac:dyDescent="0.2">
      <c r="A13" t="s">
        <v>163</v>
      </c>
      <c r="B13" s="1">
        <v>45786.636041666665</v>
      </c>
      <c r="C13" s="1">
        <v>45786.651400462964</v>
      </c>
      <c r="D13" t="s">
        <v>68</v>
      </c>
      <c r="E13" t="s">
        <v>162</v>
      </c>
      <c r="F13">
        <v>100</v>
      </c>
      <c r="G13">
        <v>1326</v>
      </c>
      <c r="H13" t="b">
        <v>1</v>
      </c>
      <c r="I13" s="1">
        <v>45786.651400462964</v>
      </c>
      <c r="J13" t="s">
        <v>163</v>
      </c>
      <c r="O13">
        <v>43.487900000000003</v>
      </c>
      <c r="P13">
        <v>-79.711299999999994</v>
      </c>
      <c r="Q13" t="s">
        <v>71</v>
      </c>
      <c r="R13" t="s">
        <v>72</v>
      </c>
      <c r="S13" t="s">
        <v>164</v>
      </c>
      <c r="T13" t="s">
        <v>165</v>
      </c>
      <c r="U13" t="s">
        <v>166</v>
      </c>
      <c r="V13" t="s">
        <v>76</v>
      </c>
      <c r="X13" t="s">
        <v>77</v>
      </c>
      <c r="Z13" t="s">
        <v>167</v>
      </c>
      <c r="AA13" t="s">
        <v>79</v>
      </c>
      <c r="AB13" t="s">
        <v>79</v>
      </c>
      <c r="AC13" t="s">
        <v>79</v>
      </c>
      <c r="AD13" t="s">
        <v>79</v>
      </c>
      <c r="AE13" t="s">
        <v>79</v>
      </c>
      <c r="AF13" t="s">
        <v>91</v>
      </c>
      <c r="AG13" t="s">
        <v>80</v>
      </c>
      <c r="AH13" t="s">
        <v>80</v>
      </c>
      <c r="AI13" t="s">
        <v>80</v>
      </c>
      <c r="AJ13" t="s">
        <v>80</v>
      </c>
      <c r="AK13" t="s">
        <v>80</v>
      </c>
      <c r="AL13" t="s">
        <v>80</v>
      </c>
      <c r="AM13" t="s">
        <v>80</v>
      </c>
      <c r="AN13" t="s">
        <v>80</v>
      </c>
      <c r="AO13" t="s">
        <v>80</v>
      </c>
      <c r="AP13" t="s">
        <v>77</v>
      </c>
      <c r="AR13" t="s">
        <v>168</v>
      </c>
      <c r="AS13" t="s">
        <v>79</v>
      </c>
      <c r="AT13" t="s">
        <v>91</v>
      </c>
      <c r="AU13" t="s">
        <v>91</v>
      </c>
      <c r="AV13" t="s">
        <v>79</v>
      </c>
      <c r="AW13" t="s">
        <v>79</v>
      </c>
      <c r="AX13" t="s">
        <v>91</v>
      </c>
      <c r="AY13" t="s">
        <v>80</v>
      </c>
      <c r="AZ13" t="s">
        <v>80</v>
      </c>
      <c r="BA13" t="s">
        <v>80</v>
      </c>
      <c r="BB13" t="s">
        <v>80</v>
      </c>
      <c r="BC13" t="s">
        <v>80</v>
      </c>
      <c r="BD13" t="s">
        <v>80</v>
      </c>
      <c r="BE13" t="s">
        <v>80</v>
      </c>
      <c r="BF13" t="s">
        <v>80</v>
      </c>
      <c r="BG13" t="s">
        <v>80</v>
      </c>
      <c r="BH13" t="s">
        <v>92</v>
      </c>
      <c r="BI13" t="s">
        <v>164</v>
      </c>
      <c r="BJ13">
        <f t="shared" si="0"/>
        <v>6</v>
      </c>
      <c r="BK13">
        <f>COUNTIF(AS13:BG13, "Correct") + COUNTIF(AS13:BG13, "Incorrect")</f>
        <v>6</v>
      </c>
      <c r="BL13">
        <v>6</v>
      </c>
      <c r="BM13">
        <v>6</v>
      </c>
      <c r="BN13" t="b">
        <f t="shared" si="1"/>
        <v>1</v>
      </c>
      <c r="BO13" t="b">
        <f t="shared" si="2"/>
        <v>1</v>
      </c>
      <c r="BP13" t="b">
        <f t="shared" si="3"/>
        <v>0</v>
      </c>
      <c r="BQ13" t="b">
        <v>0</v>
      </c>
      <c r="BR13">
        <f t="shared" si="4"/>
        <v>0.83333333333333337</v>
      </c>
      <c r="BS13">
        <f t="shared" si="5"/>
        <v>0.5</v>
      </c>
    </row>
    <row r="14" spans="1:71" ht="20" customHeight="1" x14ac:dyDescent="0.2">
      <c r="A14" t="s">
        <v>170</v>
      </c>
      <c r="B14" s="1">
        <v>45786.642326388886</v>
      </c>
      <c r="C14" s="1">
        <v>45786.659791666665</v>
      </c>
      <c r="D14" t="s">
        <v>68</v>
      </c>
      <c r="E14" t="s">
        <v>169</v>
      </c>
      <c r="F14">
        <v>100</v>
      </c>
      <c r="G14">
        <v>1508</v>
      </c>
      <c r="H14" t="b">
        <v>1</v>
      </c>
      <c r="I14" s="1">
        <v>45786.659803240742</v>
      </c>
      <c r="J14" t="s">
        <v>170</v>
      </c>
      <c r="O14">
        <v>53.794499999999999</v>
      </c>
      <c r="P14">
        <v>-1.5524</v>
      </c>
      <c r="Q14" t="s">
        <v>71</v>
      </c>
      <c r="R14" t="s">
        <v>72</v>
      </c>
      <c r="S14" t="s">
        <v>171</v>
      </c>
      <c r="T14" t="s">
        <v>172</v>
      </c>
      <c r="U14" t="s">
        <v>173</v>
      </c>
      <c r="V14" t="s">
        <v>76</v>
      </c>
      <c r="X14" t="s">
        <v>77</v>
      </c>
      <c r="Z14" t="s">
        <v>174</v>
      </c>
      <c r="AA14" t="s">
        <v>79</v>
      </c>
      <c r="AB14" t="s">
        <v>79</v>
      </c>
      <c r="AC14" t="s">
        <v>79</v>
      </c>
      <c r="AD14" t="s">
        <v>79</v>
      </c>
      <c r="AE14" t="s">
        <v>91</v>
      </c>
      <c r="AF14" t="s">
        <v>79</v>
      </c>
      <c r="AG14" t="s">
        <v>79</v>
      </c>
      <c r="AH14" t="s">
        <v>79</v>
      </c>
      <c r="AI14" t="s">
        <v>79</v>
      </c>
      <c r="AJ14" t="s">
        <v>79</v>
      </c>
      <c r="AK14" t="s">
        <v>79</v>
      </c>
      <c r="AL14" t="s">
        <v>91</v>
      </c>
      <c r="AM14" t="s">
        <v>79</v>
      </c>
      <c r="AN14" t="s">
        <v>91</v>
      </c>
      <c r="AO14" t="s">
        <v>80</v>
      </c>
      <c r="AP14" t="s">
        <v>77</v>
      </c>
      <c r="AR14" t="s">
        <v>175</v>
      </c>
      <c r="AS14" t="s">
        <v>79</v>
      </c>
      <c r="AT14" t="s">
        <v>79</v>
      </c>
      <c r="AU14" t="s">
        <v>91</v>
      </c>
      <c r="AV14" t="s">
        <v>80</v>
      </c>
      <c r="AW14" t="s">
        <v>80</v>
      </c>
      <c r="AX14" t="s">
        <v>80</v>
      </c>
      <c r="AY14" t="s">
        <v>80</v>
      </c>
      <c r="AZ14" t="s">
        <v>80</v>
      </c>
      <c r="BA14" t="s">
        <v>80</v>
      </c>
      <c r="BB14" t="s">
        <v>80</v>
      </c>
      <c r="BC14" t="s">
        <v>80</v>
      </c>
      <c r="BD14" t="s">
        <v>80</v>
      </c>
      <c r="BE14" t="s">
        <v>80</v>
      </c>
      <c r="BF14" t="s">
        <v>80</v>
      </c>
      <c r="BG14" t="s">
        <v>80</v>
      </c>
      <c r="BH14" t="s">
        <v>92</v>
      </c>
      <c r="BI14" t="s">
        <v>171</v>
      </c>
      <c r="BJ14">
        <f t="shared" si="0"/>
        <v>14</v>
      </c>
      <c r="BK14">
        <f t="shared" ref="BK14:BK16" si="8">COUNTIF(AS14:BG14, "Correct") + COUNTIF(AS14:BG14, "Incorrect")</f>
        <v>3</v>
      </c>
      <c r="BL14">
        <v>14</v>
      </c>
      <c r="BM14">
        <v>3</v>
      </c>
      <c r="BN14" t="b">
        <f t="shared" si="1"/>
        <v>1</v>
      </c>
      <c r="BO14" t="b">
        <f t="shared" si="2"/>
        <v>1</v>
      </c>
      <c r="BP14" t="b">
        <f t="shared" si="3"/>
        <v>0</v>
      </c>
      <c r="BQ14" t="b">
        <v>0</v>
      </c>
      <c r="BR14">
        <f t="shared" si="4"/>
        <v>0.7857142857142857</v>
      </c>
      <c r="BS14">
        <f t="shared" si="5"/>
        <v>0.66666666666666663</v>
      </c>
    </row>
    <row r="15" spans="1:71" ht="20" customHeight="1" x14ac:dyDescent="0.2">
      <c r="A15" t="s">
        <v>177</v>
      </c>
      <c r="B15" s="1">
        <v>45786.641145833331</v>
      </c>
      <c r="C15" s="1">
        <v>45786.665937500002</v>
      </c>
      <c r="D15" t="s">
        <v>68</v>
      </c>
      <c r="E15" t="s">
        <v>176</v>
      </c>
      <c r="F15">
        <v>100</v>
      </c>
      <c r="G15">
        <v>2141</v>
      </c>
      <c r="H15" t="b">
        <v>1</v>
      </c>
      <c r="I15" s="1">
        <v>45786.665937500002</v>
      </c>
      <c r="J15" t="s">
        <v>177</v>
      </c>
      <c r="O15">
        <v>41.493400000000001</v>
      </c>
      <c r="P15">
        <v>-87.354799999999997</v>
      </c>
      <c r="Q15" t="s">
        <v>71</v>
      </c>
      <c r="R15" t="s">
        <v>72</v>
      </c>
      <c r="S15" t="s">
        <v>178</v>
      </c>
      <c r="T15" t="s">
        <v>179</v>
      </c>
      <c r="U15" t="s">
        <v>180</v>
      </c>
      <c r="V15" t="s">
        <v>76</v>
      </c>
      <c r="X15" t="s">
        <v>77</v>
      </c>
      <c r="Z15" t="s">
        <v>181</v>
      </c>
      <c r="AA15" t="s">
        <v>79</v>
      </c>
      <c r="AB15" t="s">
        <v>79</v>
      </c>
      <c r="AC15" t="s">
        <v>79</v>
      </c>
      <c r="AD15" t="s">
        <v>80</v>
      </c>
      <c r="AE15" t="s">
        <v>80</v>
      </c>
      <c r="AF15" t="s">
        <v>80</v>
      </c>
      <c r="AG15" t="s">
        <v>80</v>
      </c>
      <c r="AH15" t="s">
        <v>80</v>
      </c>
      <c r="AI15" t="s">
        <v>80</v>
      </c>
      <c r="AJ15" t="s">
        <v>80</v>
      </c>
      <c r="AK15" t="s">
        <v>80</v>
      </c>
      <c r="AL15" t="s">
        <v>80</v>
      </c>
      <c r="AM15" t="s">
        <v>80</v>
      </c>
      <c r="AN15" t="s">
        <v>80</v>
      </c>
      <c r="AO15" t="s">
        <v>80</v>
      </c>
      <c r="AP15" t="s">
        <v>77</v>
      </c>
      <c r="AR15" t="s">
        <v>182</v>
      </c>
      <c r="AS15" t="s">
        <v>79</v>
      </c>
      <c r="AT15" t="s">
        <v>79</v>
      </c>
      <c r="AU15" t="s">
        <v>79</v>
      </c>
      <c r="AV15" t="s">
        <v>91</v>
      </c>
      <c r="AW15" t="s">
        <v>80</v>
      </c>
      <c r="AX15" t="s">
        <v>80</v>
      </c>
      <c r="AY15" t="s">
        <v>80</v>
      </c>
      <c r="AZ15" t="s">
        <v>80</v>
      </c>
      <c r="BA15" t="s">
        <v>80</v>
      </c>
      <c r="BB15" t="s">
        <v>80</v>
      </c>
      <c r="BC15" t="s">
        <v>80</v>
      </c>
      <c r="BD15" t="s">
        <v>80</v>
      </c>
      <c r="BE15" t="s">
        <v>80</v>
      </c>
      <c r="BF15" t="s">
        <v>80</v>
      </c>
      <c r="BG15" t="s">
        <v>80</v>
      </c>
      <c r="BH15" t="s">
        <v>92</v>
      </c>
      <c r="BI15" t="s">
        <v>178</v>
      </c>
      <c r="BJ15">
        <f t="shared" si="0"/>
        <v>3</v>
      </c>
      <c r="BK15">
        <f t="shared" si="8"/>
        <v>4</v>
      </c>
      <c r="BL15">
        <v>3</v>
      </c>
      <c r="BM15">
        <v>4</v>
      </c>
      <c r="BN15" t="b">
        <f t="shared" si="1"/>
        <v>1</v>
      </c>
      <c r="BO15" t="b">
        <f t="shared" si="2"/>
        <v>1</v>
      </c>
      <c r="BP15" t="b">
        <f t="shared" si="3"/>
        <v>0</v>
      </c>
      <c r="BQ15" t="b">
        <v>0</v>
      </c>
      <c r="BR15">
        <f t="shared" si="4"/>
        <v>1</v>
      </c>
      <c r="BS15">
        <f t="shared" si="5"/>
        <v>0.75</v>
      </c>
    </row>
    <row r="16" spans="1:71" ht="20" customHeight="1" x14ac:dyDescent="0.2">
      <c r="A16" t="s">
        <v>184</v>
      </c>
      <c r="B16" s="1">
        <v>45786.649247685185</v>
      </c>
      <c r="C16" s="1">
        <v>45786.670694444445</v>
      </c>
      <c r="D16" t="s">
        <v>68</v>
      </c>
      <c r="E16" t="s">
        <v>183</v>
      </c>
      <c r="F16">
        <v>100</v>
      </c>
      <c r="G16">
        <v>1853</v>
      </c>
      <c r="H16" t="b">
        <v>1</v>
      </c>
      <c r="I16" s="1">
        <v>45786.670706018522</v>
      </c>
      <c r="J16" t="s">
        <v>184</v>
      </c>
      <c r="O16">
        <v>53.650300000000001</v>
      </c>
      <c r="P16">
        <v>-3.0108000000000001</v>
      </c>
      <c r="Q16" t="s">
        <v>71</v>
      </c>
      <c r="R16" t="s">
        <v>72</v>
      </c>
      <c r="S16" t="s">
        <v>185</v>
      </c>
      <c r="T16" t="s">
        <v>186</v>
      </c>
      <c r="U16" t="s">
        <v>187</v>
      </c>
      <c r="V16" t="s">
        <v>76</v>
      </c>
      <c r="X16" t="s">
        <v>77</v>
      </c>
      <c r="Z16" t="s">
        <v>188</v>
      </c>
      <c r="AA16" t="s">
        <v>79</v>
      </c>
      <c r="AB16" t="s">
        <v>79</v>
      </c>
      <c r="AC16" t="s">
        <v>79</v>
      </c>
      <c r="AD16" t="s">
        <v>79</v>
      </c>
      <c r="AE16" t="s">
        <v>91</v>
      </c>
      <c r="AF16" t="s">
        <v>91</v>
      </c>
      <c r="AG16" t="s">
        <v>91</v>
      </c>
      <c r="AH16" t="s">
        <v>91</v>
      </c>
      <c r="AI16" t="s">
        <v>91</v>
      </c>
      <c r="AJ16" t="s">
        <v>80</v>
      </c>
      <c r="AK16" t="s">
        <v>80</v>
      </c>
      <c r="AL16" t="s">
        <v>80</v>
      </c>
      <c r="AM16" t="s">
        <v>80</v>
      </c>
      <c r="AN16" t="s">
        <v>80</v>
      </c>
      <c r="AO16" t="s">
        <v>80</v>
      </c>
      <c r="AP16" t="s">
        <v>77</v>
      </c>
      <c r="AR16" t="s">
        <v>189</v>
      </c>
      <c r="AS16" t="s">
        <v>91</v>
      </c>
      <c r="AT16" t="s">
        <v>80</v>
      </c>
      <c r="AU16" t="s">
        <v>80</v>
      </c>
      <c r="AV16" t="s">
        <v>80</v>
      </c>
      <c r="AW16" t="s">
        <v>80</v>
      </c>
      <c r="AX16" t="s">
        <v>80</v>
      </c>
      <c r="AY16" t="s">
        <v>80</v>
      </c>
      <c r="AZ16" t="s">
        <v>80</v>
      </c>
      <c r="BA16" t="s">
        <v>80</v>
      </c>
      <c r="BB16" t="s">
        <v>80</v>
      </c>
      <c r="BC16" t="s">
        <v>80</v>
      </c>
      <c r="BD16" t="s">
        <v>80</v>
      </c>
      <c r="BE16" t="s">
        <v>80</v>
      </c>
      <c r="BF16" t="s">
        <v>80</v>
      </c>
      <c r="BG16" t="s">
        <v>80</v>
      </c>
      <c r="BH16" t="s">
        <v>92</v>
      </c>
      <c r="BI16" t="s">
        <v>185</v>
      </c>
      <c r="BJ16">
        <f t="shared" si="0"/>
        <v>9</v>
      </c>
      <c r="BK16">
        <f t="shared" si="8"/>
        <v>1</v>
      </c>
      <c r="BL16">
        <v>9</v>
      </c>
      <c r="BM16">
        <v>1</v>
      </c>
      <c r="BN16" t="b">
        <f t="shared" si="1"/>
        <v>1</v>
      </c>
      <c r="BO16" t="b">
        <f t="shared" si="2"/>
        <v>1</v>
      </c>
      <c r="BP16" t="b">
        <f t="shared" si="3"/>
        <v>0</v>
      </c>
      <c r="BQ16" t="b">
        <v>0</v>
      </c>
      <c r="BR16">
        <f t="shared" si="4"/>
        <v>0.44444444444444442</v>
      </c>
      <c r="BS16">
        <f t="shared" si="5"/>
        <v>0</v>
      </c>
    </row>
    <row r="17" spans="1:71" ht="20" customHeight="1" x14ac:dyDescent="0.2">
      <c r="A17" t="s">
        <v>191</v>
      </c>
      <c r="B17" s="1">
        <v>45786.641284722224</v>
      </c>
      <c r="C17" s="1">
        <v>45786.675011574072</v>
      </c>
      <c r="D17" t="s">
        <v>68</v>
      </c>
      <c r="E17" t="s">
        <v>190</v>
      </c>
      <c r="F17">
        <v>100</v>
      </c>
      <c r="G17">
        <v>2914</v>
      </c>
      <c r="H17" t="b">
        <v>1</v>
      </c>
      <c r="I17" s="1">
        <v>45786.675023148149</v>
      </c>
      <c r="J17" t="s">
        <v>191</v>
      </c>
      <c r="O17">
        <v>51.508099999999999</v>
      </c>
      <c r="P17">
        <v>-0.1278</v>
      </c>
      <c r="Q17" t="s">
        <v>71</v>
      </c>
      <c r="R17" t="s">
        <v>72</v>
      </c>
      <c r="S17" t="s">
        <v>192</v>
      </c>
      <c r="T17" t="s">
        <v>193</v>
      </c>
      <c r="U17" t="s">
        <v>194</v>
      </c>
      <c r="V17" t="s">
        <v>76</v>
      </c>
      <c r="W17" t="s">
        <v>195</v>
      </c>
      <c r="X17" t="s">
        <v>77</v>
      </c>
      <c r="Z17" t="s">
        <v>196</v>
      </c>
      <c r="AA17" t="s">
        <v>197</v>
      </c>
      <c r="AB17" t="s">
        <v>197</v>
      </c>
      <c r="AC17" t="s">
        <v>91</v>
      </c>
      <c r="AD17" t="s">
        <v>80</v>
      </c>
      <c r="AE17" t="s">
        <v>80</v>
      </c>
      <c r="AF17" t="s">
        <v>80</v>
      </c>
      <c r="AG17" t="s">
        <v>80</v>
      </c>
      <c r="AH17" t="s">
        <v>80</v>
      </c>
      <c r="AI17" t="s">
        <v>80</v>
      </c>
      <c r="AJ17" t="s">
        <v>80</v>
      </c>
      <c r="AK17" t="s">
        <v>80</v>
      </c>
      <c r="AL17" t="s">
        <v>80</v>
      </c>
      <c r="AM17" t="s">
        <v>80</v>
      </c>
      <c r="AN17" t="s">
        <v>80</v>
      </c>
      <c r="AO17" t="s">
        <v>80</v>
      </c>
      <c r="AP17" t="s">
        <v>77</v>
      </c>
      <c r="AR17" t="s">
        <v>198</v>
      </c>
      <c r="AS17" t="s">
        <v>91</v>
      </c>
      <c r="AT17" t="s">
        <v>80</v>
      </c>
      <c r="AU17" t="s">
        <v>80</v>
      </c>
      <c r="AV17" t="s">
        <v>80</v>
      </c>
      <c r="AW17" t="s">
        <v>80</v>
      </c>
      <c r="AX17" t="s">
        <v>80</v>
      </c>
      <c r="AY17" t="s">
        <v>80</v>
      </c>
      <c r="AZ17" t="s">
        <v>80</v>
      </c>
      <c r="BA17" t="s">
        <v>80</v>
      </c>
      <c r="BB17" t="s">
        <v>80</v>
      </c>
      <c r="BC17" t="s">
        <v>80</v>
      </c>
      <c r="BD17" t="s">
        <v>80</v>
      </c>
      <c r="BE17" t="s">
        <v>80</v>
      </c>
      <c r="BF17" t="s">
        <v>80</v>
      </c>
      <c r="BG17" t="s">
        <v>80</v>
      </c>
      <c r="BH17" t="s">
        <v>199</v>
      </c>
      <c r="BI17" t="s">
        <v>192</v>
      </c>
      <c r="BJ17">
        <f t="shared" si="0"/>
        <v>3</v>
      </c>
      <c r="BK17">
        <f>COUNTIF(AS17:BG17, "Correct") + COUNTIF(AS17:BG17, "Incorrect")</f>
        <v>1</v>
      </c>
      <c r="BL17">
        <v>3</v>
      </c>
      <c r="BM17">
        <v>1</v>
      </c>
      <c r="BN17" t="b">
        <f t="shared" si="1"/>
        <v>1</v>
      </c>
      <c r="BO17" t="b">
        <f t="shared" si="2"/>
        <v>1</v>
      </c>
      <c r="BP17" t="b">
        <f t="shared" si="3"/>
        <v>0</v>
      </c>
      <c r="BQ17" t="b">
        <v>0</v>
      </c>
      <c r="BR17">
        <f t="shared" si="4"/>
        <v>0.66666666666666663</v>
      </c>
      <c r="BS17">
        <f t="shared" si="5"/>
        <v>0</v>
      </c>
    </row>
    <row r="18" spans="1:71" ht="20" customHeight="1" x14ac:dyDescent="0.2">
      <c r="A18" t="s">
        <v>201</v>
      </c>
      <c r="B18" s="1">
        <v>45786.646226851852</v>
      </c>
      <c r="C18" s="1">
        <v>45786.676319444443</v>
      </c>
      <c r="D18" t="s">
        <v>68</v>
      </c>
      <c r="E18" t="s">
        <v>200</v>
      </c>
      <c r="F18">
        <v>100</v>
      </c>
      <c r="G18">
        <v>2599</v>
      </c>
      <c r="H18" t="b">
        <v>1</v>
      </c>
      <c r="I18" s="1">
        <v>45786.676319444443</v>
      </c>
      <c r="J18" t="s">
        <v>201</v>
      </c>
      <c r="O18">
        <v>43.422800000000002</v>
      </c>
      <c r="P18">
        <v>-80.361800000000002</v>
      </c>
      <c r="Q18" t="s">
        <v>71</v>
      </c>
      <c r="R18" t="s">
        <v>72</v>
      </c>
      <c r="S18" t="s">
        <v>202</v>
      </c>
      <c r="T18" t="s">
        <v>203</v>
      </c>
      <c r="U18" t="s">
        <v>204</v>
      </c>
      <c r="V18" t="s">
        <v>76</v>
      </c>
      <c r="X18" t="s">
        <v>77</v>
      </c>
      <c r="Z18" t="s">
        <v>205</v>
      </c>
      <c r="AA18" t="s">
        <v>79</v>
      </c>
      <c r="AB18" t="s">
        <v>79</v>
      </c>
      <c r="AC18" t="s">
        <v>91</v>
      </c>
      <c r="AD18" t="s">
        <v>79</v>
      </c>
      <c r="AE18" t="s">
        <v>79</v>
      </c>
      <c r="AF18" t="s">
        <v>79</v>
      </c>
      <c r="AG18" t="s">
        <v>79</v>
      </c>
      <c r="AH18" t="s">
        <v>79</v>
      </c>
      <c r="AI18" t="s">
        <v>80</v>
      </c>
      <c r="AJ18" t="s">
        <v>80</v>
      </c>
      <c r="AK18" t="s">
        <v>80</v>
      </c>
      <c r="AL18" t="s">
        <v>80</v>
      </c>
      <c r="AM18" t="s">
        <v>80</v>
      </c>
      <c r="AN18" t="s">
        <v>80</v>
      </c>
      <c r="AO18" t="s">
        <v>80</v>
      </c>
      <c r="AP18" t="s">
        <v>77</v>
      </c>
      <c r="AR18" t="s">
        <v>206</v>
      </c>
      <c r="AS18" t="s">
        <v>79</v>
      </c>
      <c r="AT18" t="s">
        <v>79</v>
      </c>
      <c r="AU18" t="s">
        <v>91</v>
      </c>
      <c r="AV18" t="s">
        <v>80</v>
      </c>
      <c r="AW18" t="s">
        <v>80</v>
      </c>
      <c r="AX18" t="s">
        <v>80</v>
      </c>
      <c r="AY18" t="s">
        <v>80</v>
      </c>
      <c r="AZ18" t="s">
        <v>80</v>
      </c>
      <c r="BA18" t="s">
        <v>80</v>
      </c>
      <c r="BB18" t="s">
        <v>80</v>
      </c>
      <c r="BC18" t="s">
        <v>80</v>
      </c>
      <c r="BD18" t="s">
        <v>80</v>
      </c>
      <c r="BE18" t="s">
        <v>80</v>
      </c>
      <c r="BF18" t="s">
        <v>80</v>
      </c>
      <c r="BG18" t="s">
        <v>80</v>
      </c>
      <c r="BH18" t="s">
        <v>92</v>
      </c>
      <c r="BI18" t="s">
        <v>202</v>
      </c>
      <c r="BJ18">
        <f t="shared" si="0"/>
        <v>8</v>
      </c>
      <c r="BK18">
        <f>COUNTIF(AS18:BG18, "Correct") + COUNTIF(AS18:BG18, "Incorrect")</f>
        <v>3</v>
      </c>
      <c r="BL18">
        <v>8</v>
      </c>
      <c r="BM18">
        <v>3</v>
      </c>
      <c r="BN18" t="b">
        <f t="shared" si="1"/>
        <v>1</v>
      </c>
      <c r="BO18" t="b">
        <f t="shared" si="2"/>
        <v>1</v>
      </c>
      <c r="BP18" t="b">
        <f t="shared" si="3"/>
        <v>0</v>
      </c>
      <c r="BQ18" t="b">
        <v>0</v>
      </c>
      <c r="BR18">
        <f t="shared" si="4"/>
        <v>0.875</v>
      </c>
      <c r="BS18">
        <f t="shared" si="5"/>
        <v>0.66666666666666663</v>
      </c>
    </row>
    <row r="19" spans="1:71" ht="20" customHeight="1" x14ac:dyDescent="0.2">
      <c r="A19" t="s">
        <v>208</v>
      </c>
      <c r="B19" s="1">
        <v>45786.65152777778</v>
      </c>
      <c r="C19" s="1">
        <v>45786.68172453704</v>
      </c>
      <c r="D19" t="s">
        <v>68</v>
      </c>
      <c r="E19" t="s">
        <v>207</v>
      </c>
      <c r="F19">
        <v>100</v>
      </c>
      <c r="G19">
        <v>2608</v>
      </c>
      <c r="H19" t="b">
        <v>1</v>
      </c>
      <c r="I19" s="1">
        <v>45786.68172453704</v>
      </c>
      <c r="J19" t="s">
        <v>208</v>
      </c>
      <c r="O19">
        <v>43.732100000000003</v>
      </c>
      <c r="P19">
        <v>-79.509600000000006</v>
      </c>
      <c r="Q19" t="s">
        <v>71</v>
      </c>
      <c r="R19" t="s">
        <v>72</v>
      </c>
      <c r="S19" t="s">
        <v>209</v>
      </c>
      <c r="T19" t="s">
        <v>210</v>
      </c>
      <c r="U19" t="s">
        <v>211</v>
      </c>
      <c r="V19" t="s">
        <v>76</v>
      </c>
      <c r="X19" t="s">
        <v>77</v>
      </c>
      <c r="Z19" t="s">
        <v>212</v>
      </c>
      <c r="AA19" t="s">
        <v>79</v>
      </c>
      <c r="AB19" t="s">
        <v>79</v>
      </c>
      <c r="AC19" t="s">
        <v>91</v>
      </c>
      <c r="AD19" t="s">
        <v>79</v>
      </c>
      <c r="AE19" t="s">
        <v>79</v>
      </c>
      <c r="AF19" t="s">
        <v>79</v>
      </c>
      <c r="AG19" t="s">
        <v>91</v>
      </c>
      <c r="AH19" t="s">
        <v>79</v>
      </c>
      <c r="AI19" t="s">
        <v>79</v>
      </c>
      <c r="AJ19" t="s">
        <v>91</v>
      </c>
      <c r="AK19" t="s">
        <v>79</v>
      </c>
      <c r="AL19" t="s">
        <v>91</v>
      </c>
      <c r="AM19" t="s">
        <v>79</v>
      </c>
      <c r="AN19" t="s">
        <v>91</v>
      </c>
      <c r="AO19" t="s">
        <v>80</v>
      </c>
      <c r="AP19" t="s">
        <v>77</v>
      </c>
      <c r="AR19" t="s">
        <v>214</v>
      </c>
      <c r="AS19" t="s">
        <v>79</v>
      </c>
      <c r="AT19" t="s">
        <v>79</v>
      </c>
      <c r="AU19" t="s">
        <v>91</v>
      </c>
      <c r="AV19" t="s">
        <v>91</v>
      </c>
      <c r="AW19" t="s">
        <v>80</v>
      </c>
      <c r="AX19" t="s">
        <v>80</v>
      </c>
      <c r="AY19" t="s">
        <v>80</v>
      </c>
      <c r="AZ19" t="s">
        <v>80</v>
      </c>
      <c r="BA19" t="s">
        <v>80</v>
      </c>
      <c r="BB19" t="s">
        <v>80</v>
      </c>
      <c r="BC19" t="s">
        <v>80</v>
      </c>
      <c r="BD19" t="s">
        <v>80</v>
      </c>
      <c r="BE19" t="s">
        <v>80</v>
      </c>
      <c r="BF19" t="s">
        <v>80</v>
      </c>
      <c r="BG19" t="s">
        <v>80</v>
      </c>
      <c r="BH19" t="s">
        <v>92</v>
      </c>
      <c r="BI19" t="s">
        <v>209</v>
      </c>
      <c r="BJ19">
        <f t="shared" si="0"/>
        <v>14</v>
      </c>
      <c r="BK19">
        <f t="shared" ref="BK19:BK21" si="9">COUNTIF(AS19:BG19, "Correct") + COUNTIF(AS19:BG19, "Incorrect")</f>
        <v>4</v>
      </c>
      <c r="BL19">
        <v>14</v>
      </c>
      <c r="BM19">
        <v>4</v>
      </c>
      <c r="BN19" t="b">
        <f t="shared" si="1"/>
        <v>1</v>
      </c>
      <c r="BO19" t="b">
        <f t="shared" si="2"/>
        <v>1</v>
      </c>
      <c r="BP19" t="b">
        <f t="shared" si="3"/>
        <v>0</v>
      </c>
      <c r="BQ19" t="b">
        <v>0</v>
      </c>
      <c r="BR19">
        <f t="shared" si="4"/>
        <v>0.6428571428571429</v>
      </c>
      <c r="BS19">
        <f t="shared" si="5"/>
        <v>0.5</v>
      </c>
    </row>
    <row r="20" spans="1:71" ht="20" customHeight="1" x14ac:dyDescent="0.2">
      <c r="A20" t="s">
        <v>216</v>
      </c>
      <c r="B20" s="1">
        <v>45786.664606481485</v>
      </c>
      <c r="C20" s="1">
        <v>45786.699571759258</v>
      </c>
      <c r="D20" t="s">
        <v>68</v>
      </c>
      <c r="E20" t="s">
        <v>215</v>
      </c>
      <c r="F20">
        <v>100</v>
      </c>
      <c r="G20">
        <v>3021</v>
      </c>
      <c r="H20" t="b">
        <v>1</v>
      </c>
      <c r="I20" s="1">
        <v>45786.699583333335</v>
      </c>
      <c r="J20" t="s">
        <v>216</v>
      </c>
      <c r="O20">
        <v>51.532299999999999</v>
      </c>
      <c r="P20">
        <v>0.71009999999999995</v>
      </c>
      <c r="Q20" t="s">
        <v>71</v>
      </c>
      <c r="R20" t="s">
        <v>72</v>
      </c>
      <c r="S20" t="s">
        <v>217</v>
      </c>
      <c r="T20" t="s">
        <v>218</v>
      </c>
      <c r="U20" t="s">
        <v>219</v>
      </c>
      <c r="V20" t="s">
        <v>76</v>
      </c>
      <c r="W20" t="s">
        <v>220</v>
      </c>
      <c r="X20" t="s">
        <v>77</v>
      </c>
      <c r="Z20" t="s">
        <v>221</v>
      </c>
      <c r="AA20" t="s">
        <v>79</v>
      </c>
      <c r="AB20" t="s">
        <v>79</v>
      </c>
      <c r="AC20" t="s">
        <v>79</v>
      </c>
      <c r="AD20" t="s">
        <v>79</v>
      </c>
      <c r="AE20" t="s">
        <v>91</v>
      </c>
      <c r="AF20" t="s">
        <v>91</v>
      </c>
      <c r="AG20" t="s">
        <v>91</v>
      </c>
      <c r="AH20" t="s">
        <v>91</v>
      </c>
      <c r="AI20" t="s">
        <v>91</v>
      </c>
      <c r="AJ20" t="s">
        <v>80</v>
      </c>
      <c r="AK20" t="s">
        <v>80</v>
      </c>
      <c r="AL20" t="s">
        <v>80</v>
      </c>
      <c r="AM20" t="s">
        <v>80</v>
      </c>
      <c r="AN20" t="s">
        <v>80</v>
      </c>
      <c r="AO20" t="s">
        <v>80</v>
      </c>
      <c r="AP20" t="s">
        <v>77</v>
      </c>
      <c r="AR20" t="s">
        <v>222</v>
      </c>
      <c r="AS20" t="s">
        <v>91</v>
      </c>
      <c r="AT20" t="s">
        <v>80</v>
      </c>
      <c r="AU20" t="s">
        <v>80</v>
      </c>
      <c r="AV20" t="s">
        <v>80</v>
      </c>
      <c r="AW20" t="s">
        <v>80</v>
      </c>
      <c r="AX20" t="s">
        <v>80</v>
      </c>
      <c r="AY20" t="s">
        <v>80</v>
      </c>
      <c r="AZ20" t="s">
        <v>80</v>
      </c>
      <c r="BA20" t="s">
        <v>80</v>
      </c>
      <c r="BB20" t="s">
        <v>80</v>
      </c>
      <c r="BC20" t="s">
        <v>80</v>
      </c>
      <c r="BD20" t="s">
        <v>80</v>
      </c>
      <c r="BE20" t="s">
        <v>80</v>
      </c>
      <c r="BF20" t="s">
        <v>80</v>
      </c>
      <c r="BG20" t="s">
        <v>80</v>
      </c>
      <c r="BH20" t="s">
        <v>92</v>
      </c>
      <c r="BI20" t="s">
        <v>217</v>
      </c>
      <c r="BJ20">
        <f t="shared" si="0"/>
        <v>9</v>
      </c>
      <c r="BK20">
        <f t="shared" si="9"/>
        <v>1</v>
      </c>
      <c r="BL20">
        <v>9</v>
      </c>
      <c r="BM20">
        <v>1</v>
      </c>
      <c r="BN20" t="b">
        <f t="shared" si="1"/>
        <v>1</v>
      </c>
      <c r="BO20" t="b">
        <f t="shared" si="2"/>
        <v>1</v>
      </c>
      <c r="BP20" t="b">
        <f t="shared" si="3"/>
        <v>0</v>
      </c>
      <c r="BQ20" t="b">
        <v>0</v>
      </c>
      <c r="BR20">
        <f t="shared" si="4"/>
        <v>0.44444444444444442</v>
      </c>
      <c r="BS20">
        <f t="shared" si="5"/>
        <v>0</v>
      </c>
    </row>
    <row r="21" spans="1:71" ht="20" customHeight="1" x14ac:dyDescent="0.2">
      <c r="A21" t="s">
        <v>224</v>
      </c>
      <c r="B21" s="1">
        <v>45786.685115740744</v>
      </c>
      <c r="C21" s="1">
        <v>45786.71638888889</v>
      </c>
      <c r="D21" t="s">
        <v>68</v>
      </c>
      <c r="E21" t="s">
        <v>223</v>
      </c>
      <c r="F21">
        <v>100</v>
      </c>
      <c r="G21">
        <v>2701</v>
      </c>
      <c r="H21" t="b">
        <v>1</v>
      </c>
      <c r="I21" s="1">
        <v>45786.716400462959</v>
      </c>
      <c r="J21" t="s">
        <v>224</v>
      </c>
      <c r="O21">
        <v>33.833599999999997</v>
      </c>
      <c r="P21">
        <v>-84.3797</v>
      </c>
      <c r="Q21" t="s">
        <v>71</v>
      </c>
      <c r="R21" t="s">
        <v>72</v>
      </c>
      <c r="S21" t="s">
        <v>225</v>
      </c>
      <c r="T21" t="s">
        <v>226</v>
      </c>
      <c r="U21" t="s">
        <v>227</v>
      </c>
      <c r="V21" t="s">
        <v>76</v>
      </c>
      <c r="X21" t="s">
        <v>77</v>
      </c>
      <c r="Z21" t="s">
        <v>228</v>
      </c>
      <c r="AA21" t="s">
        <v>79</v>
      </c>
      <c r="AB21" t="s">
        <v>79</v>
      </c>
      <c r="AC21" t="s">
        <v>91</v>
      </c>
      <c r="AD21" t="s">
        <v>91</v>
      </c>
      <c r="AE21" t="s">
        <v>79</v>
      </c>
      <c r="AF21" t="s">
        <v>80</v>
      </c>
      <c r="AG21" t="s">
        <v>80</v>
      </c>
      <c r="AH21" t="s">
        <v>80</v>
      </c>
      <c r="AI21" t="s">
        <v>80</v>
      </c>
      <c r="AJ21" t="s">
        <v>80</v>
      </c>
      <c r="AK21" t="s">
        <v>80</v>
      </c>
      <c r="AL21" t="s">
        <v>80</v>
      </c>
      <c r="AM21" t="s">
        <v>80</v>
      </c>
      <c r="AN21" t="s">
        <v>80</v>
      </c>
      <c r="AO21" t="s">
        <v>80</v>
      </c>
      <c r="AP21" t="s">
        <v>77</v>
      </c>
      <c r="AR21" t="s">
        <v>229</v>
      </c>
      <c r="AS21" t="s">
        <v>91</v>
      </c>
      <c r="AT21" t="s">
        <v>80</v>
      </c>
      <c r="AU21" t="s">
        <v>80</v>
      </c>
      <c r="AV21" t="s">
        <v>80</v>
      </c>
      <c r="AW21" t="s">
        <v>80</v>
      </c>
      <c r="AX21" t="s">
        <v>80</v>
      </c>
      <c r="AY21" t="s">
        <v>80</v>
      </c>
      <c r="AZ21" t="s">
        <v>80</v>
      </c>
      <c r="BA21" t="s">
        <v>80</v>
      </c>
      <c r="BB21" t="s">
        <v>80</v>
      </c>
      <c r="BC21" t="s">
        <v>80</v>
      </c>
      <c r="BD21" t="s">
        <v>80</v>
      </c>
      <c r="BE21" t="s">
        <v>80</v>
      </c>
      <c r="BF21" t="s">
        <v>80</v>
      </c>
      <c r="BG21" t="s">
        <v>80</v>
      </c>
      <c r="BH21" t="s">
        <v>92</v>
      </c>
      <c r="BI21" t="s">
        <v>225</v>
      </c>
      <c r="BJ21">
        <f t="shared" si="0"/>
        <v>5</v>
      </c>
      <c r="BK21">
        <f t="shared" si="9"/>
        <v>1</v>
      </c>
      <c r="BL21">
        <v>5</v>
      </c>
      <c r="BM21">
        <v>1</v>
      </c>
      <c r="BN21" t="b">
        <f t="shared" si="1"/>
        <v>1</v>
      </c>
      <c r="BO21" t="b">
        <f t="shared" si="2"/>
        <v>1</v>
      </c>
      <c r="BP21" t="b">
        <f t="shared" si="3"/>
        <v>0</v>
      </c>
      <c r="BQ21" t="b">
        <v>0</v>
      </c>
      <c r="BR21">
        <f t="shared" si="4"/>
        <v>0.6</v>
      </c>
      <c r="BS21">
        <f t="shared" si="5"/>
        <v>0</v>
      </c>
    </row>
    <row r="22" spans="1:71" ht="20" customHeight="1" x14ac:dyDescent="0.2">
      <c r="A22" t="s">
        <v>231</v>
      </c>
      <c r="B22" s="1">
        <v>45786.688599537039</v>
      </c>
      <c r="C22" s="1">
        <v>45786.719131944446</v>
      </c>
      <c r="D22" t="s">
        <v>68</v>
      </c>
      <c r="E22" t="s">
        <v>230</v>
      </c>
      <c r="F22">
        <v>100</v>
      </c>
      <c r="G22">
        <v>2637</v>
      </c>
      <c r="H22" t="b">
        <v>1</v>
      </c>
      <c r="I22" s="1">
        <v>45786.719143518516</v>
      </c>
      <c r="J22" t="s">
        <v>231</v>
      </c>
      <c r="O22">
        <v>40.432699999999997</v>
      </c>
      <c r="P22">
        <v>-74.419700000000006</v>
      </c>
      <c r="Q22" t="s">
        <v>71</v>
      </c>
      <c r="R22" t="s">
        <v>72</v>
      </c>
      <c r="S22" t="s">
        <v>232</v>
      </c>
      <c r="T22" t="s">
        <v>233</v>
      </c>
      <c r="U22" t="s">
        <v>234</v>
      </c>
      <c r="V22" t="s">
        <v>76</v>
      </c>
      <c r="X22" t="s">
        <v>113</v>
      </c>
      <c r="Y22" t="s">
        <v>235</v>
      </c>
      <c r="Z22" t="s">
        <v>236</v>
      </c>
      <c r="AA22" t="s">
        <v>91</v>
      </c>
      <c r="AB22" t="s">
        <v>91</v>
      </c>
      <c r="AC22" t="s">
        <v>91</v>
      </c>
      <c r="AD22" t="s">
        <v>91</v>
      </c>
      <c r="AE22" t="s">
        <v>91</v>
      </c>
      <c r="AF22" t="s">
        <v>91</v>
      </c>
      <c r="AG22" t="s">
        <v>91</v>
      </c>
      <c r="AH22" t="s">
        <v>91</v>
      </c>
      <c r="AI22" t="s">
        <v>91</v>
      </c>
      <c r="AJ22" t="s">
        <v>91</v>
      </c>
      <c r="AK22" t="s">
        <v>91</v>
      </c>
      <c r="AL22" t="s">
        <v>91</v>
      </c>
      <c r="AM22" t="s">
        <v>80</v>
      </c>
      <c r="AN22" t="s">
        <v>80</v>
      </c>
      <c r="AO22" t="s">
        <v>80</v>
      </c>
      <c r="AP22" t="s">
        <v>77</v>
      </c>
      <c r="AR22" t="s">
        <v>237</v>
      </c>
      <c r="AS22" t="s">
        <v>79</v>
      </c>
      <c r="AT22" t="s">
        <v>79</v>
      </c>
      <c r="AU22" t="s">
        <v>79</v>
      </c>
      <c r="AV22" t="s">
        <v>91</v>
      </c>
      <c r="AW22" t="s">
        <v>91</v>
      </c>
      <c r="AX22" t="s">
        <v>197</v>
      </c>
      <c r="AY22" t="s">
        <v>197</v>
      </c>
      <c r="AZ22" t="s">
        <v>197</v>
      </c>
      <c r="BA22" t="s">
        <v>197</v>
      </c>
      <c r="BB22" t="s">
        <v>197</v>
      </c>
      <c r="BC22" t="s">
        <v>197</v>
      </c>
      <c r="BD22" t="s">
        <v>197</v>
      </c>
      <c r="BE22" t="s">
        <v>91</v>
      </c>
      <c r="BF22" t="s">
        <v>80</v>
      </c>
      <c r="BG22" t="s">
        <v>80</v>
      </c>
      <c r="BH22" t="s">
        <v>238</v>
      </c>
      <c r="BI22" t="s">
        <v>232</v>
      </c>
      <c r="BJ22">
        <f t="shared" si="0"/>
        <v>12</v>
      </c>
      <c r="BK22">
        <f>COUNTIF(AS22:BG22, "Correct") + COUNTIF(AS22:BG22, "Incorrect")</f>
        <v>13</v>
      </c>
      <c r="BL22">
        <v>12</v>
      </c>
      <c r="BM22">
        <v>13</v>
      </c>
      <c r="BN22" t="b">
        <f t="shared" si="1"/>
        <v>1</v>
      </c>
      <c r="BO22" t="b">
        <f t="shared" si="2"/>
        <v>1</v>
      </c>
      <c r="BP22" t="b">
        <f t="shared" si="3"/>
        <v>0</v>
      </c>
      <c r="BQ22" t="b">
        <v>0</v>
      </c>
      <c r="BR22">
        <f t="shared" si="4"/>
        <v>0</v>
      </c>
      <c r="BS22">
        <f t="shared" si="5"/>
        <v>0.76923076923076927</v>
      </c>
    </row>
    <row r="23" spans="1:71" ht="20" customHeight="1" x14ac:dyDescent="0.2">
      <c r="A23" t="s">
        <v>240</v>
      </c>
      <c r="B23" s="1">
        <v>45786.715717592589</v>
      </c>
      <c r="C23" s="1">
        <v>45786.728564814817</v>
      </c>
      <c r="D23" t="s">
        <v>68</v>
      </c>
      <c r="E23" t="s">
        <v>239</v>
      </c>
      <c r="F23">
        <v>100</v>
      </c>
      <c r="G23">
        <v>1110</v>
      </c>
      <c r="H23" t="b">
        <v>1</v>
      </c>
      <c r="I23" s="1">
        <v>45786.728576388887</v>
      </c>
      <c r="J23" t="s">
        <v>240</v>
      </c>
      <c r="O23">
        <v>38.952800000000003</v>
      </c>
      <c r="P23">
        <v>-94.470500000000001</v>
      </c>
      <c r="Q23" t="s">
        <v>71</v>
      </c>
      <c r="R23" t="s">
        <v>72</v>
      </c>
      <c r="S23" t="s">
        <v>241</v>
      </c>
      <c r="T23" t="s">
        <v>242</v>
      </c>
      <c r="U23" t="s">
        <v>241</v>
      </c>
      <c r="V23" t="s">
        <v>76</v>
      </c>
      <c r="W23" t="s">
        <v>243</v>
      </c>
      <c r="X23" t="s">
        <v>77</v>
      </c>
      <c r="Z23" t="s">
        <v>244</v>
      </c>
      <c r="AA23" t="s">
        <v>197</v>
      </c>
      <c r="AB23" t="s">
        <v>197</v>
      </c>
      <c r="AC23" t="s">
        <v>197</v>
      </c>
      <c r="AD23" t="s">
        <v>80</v>
      </c>
      <c r="AE23" t="s">
        <v>80</v>
      </c>
      <c r="AF23" t="s">
        <v>80</v>
      </c>
      <c r="AG23" t="s">
        <v>80</v>
      </c>
      <c r="AH23" t="s">
        <v>80</v>
      </c>
      <c r="AI23" t="s">
        <v>80</v>
      </c>
      <c r="AJ23" t="s">
        <v>80</v>
      </c>
      <c r="AK23" t="s">
        <v>80</v>
      </c>
      <c r="AL23" t="s">
        <v>80</v>
      </c>
      <c r="AM23" t="s">
        <v>80</v>
      </c>
      <c r="AN23" t="s">
        <v>80</v>
      </c>
      <c r="AO23" t="s">
        <v>80</v>
      </c>
      <c r="AP23" t="s">
        <v>113</v>
      </c>
      <c r="AQ23" t="s">
        <v>245</v>
      </c>
      <c r="AR23" t="s">
        <v>246</v>
      </c>
      <c r="AS23" t="s">
        <v>91</v>
      </c>
      <c r="AT23" t="s">
        <v>91</v>
      </c>
      <c r="AU23" t="s">
        <v>80</v>
      </c>
      <c r="AV23" t="s">
        <v>80</v>
      </c>
      <c r="AW23" t="s">
        <v>80</v>
      </c>
      <c r="AX23" t="s">
        <v>80</v>
      </c>
      <c r="AY23" t="s">
        <v>80</v>
      </c>
      <c r="AZ23" t="s">
        <v>80</v>
      </c>
      <c r="BA23" t="s">
        <v>80</v>
      </c>
      <c r="BB23" t="s">
        <v>80</v>
      </c>
      <c r="BC23" t="s">
        <v>80</v>
      </c>
      <c r="BD23" t="s">
        <v>80</v>
      </c>
      <c r="BE23" t="s">
        <v>80</v>
      </c>
      <c r="BF23" t="s">
        <v>80</v>
      </c>
      <c r="BG23" t="s">
        <v>80</v>
      </c>
      <c r="BH23" t="s">
        <v>199</v>
      </c>
      <c r="BI23" t="s">
        <v>241</v>
      </c>
      <c r="BJ23">
        <f t="shared" si="0"/>
        <v>3</v>
      </c>
      <c r="BK23">
        <f>COUNTIF(AS23:BG23, "Correct") + COUNTIF(AS23:BG23, "Incorrect")</f>
        <v>2</v>
      </c>
      <c r="BL23">
        <v>3</v>
      </c>
      <c r="BM23">
        <v>2</v>
      </c>
      <c r="BN23" t="b">
        <f t="shared" si="1"/>
        <v>1</v>
      </c>
      <c r="BO23" t="b">
        <f t="shared" si="2"/>
        <v>1</v>
      </c>
      <c r="BP23" t="b">
        <f t="shared" si="3"/>
        <v>0</v>
      </c>
      <c r="BQ23" t="b">
        <v>0</v>
      </c>
      <c r="BR23">
        <f t="shared" si="4"/>
        <v>1</v>
      </c>
      <c r="BS23">
        <f t="shared" si="5"/>
        <v>0</v>
      </c>
    </row>
    <row r="24" spans="1:71" ht="20" customHeight="1" x14ac:dyDescent="0.2">
      <c r="A24" t="s">
        <v>247</v>
      </c>
      <c r="B24" s="1">
        <v>45786.745486111111</v>
      </c>
      <c r="C24" s="1">
        <v>45786.760462962964</v>
      </c>
      <c r="D24" t="s">
        <v>68</v>
      </c>
      <c r="E24" t="s">
        <v>215</v>
      </c>
      <c r="F24">
        <v>100</v>
      </c>
      <c r="G24">
        <v>1293</v>
      </c>
      <c r="H24" t="b">
        <v>1</v>
      </c>
      <c r="I24" s="1">
        <v>45786.760462962964</v>
      </c>
      <c r="J24" t="s">
        <v>247</v>
      </c>
      <c r="O24">
        <v>51.532299999999999</v>
      </c>
      <c r="P24">
        <v>0.71009999999999995</v>
      </c>
      <c r="Q24" t="s">
        <v>71</v>
      </c>
      <c r="R24" t="s">
        <v>72</v>
      </c>
      <c r="S24" t="s">
        <v>217</v>
      </c>
      <c r="T24" t="s">
        <v>248</v>
      </c>
      <c r="U24" t="s">
        <v>249</v>
      </c>
      <c r="V24" t="s">
        <v>76</v>
      </c>
      <c r="W24" t="s">
        <v>250</v>
      </c>
      <c r="X24" t="s">
        <v>77</v>
      </c>
      <c r="Z24" t="s">
        <v>251</v>
      </c>
      <c r="AA24" t="s">
        <v>91</v>
      </c>
      <c r="AB24" t="s">
        <v>80</v>
      </c>
      <c r="AC24" t="s">
        <v>80</v>
      </c>
      <c r="AD24" t="s">
        <v>80</v>
      </c>
      <c r="AE24" t="s">
        <v>80</v>
      </c>
      <c r="AF24" t="s">
        <v>80</v>
      </c>
      <c r="AG24" t="s">
        <v>80</v>
      </c>
      <c r="AH24" t="s">
        <v>80</v>
      </c>
      <c r="AI24" t="s">
        <v>80</v>
      </c>
      <c r="AJ24" t="s">
        <v>80</v>
      </c>
      <c r="AK24" t="s">
        <v>80</v>
      </c>
      <c r="AL24" t="s">
        <v>80</v>
      </c>
      <c r="AM24" t="s">
        <v>80</v>
      </c>
      <c r="AN24" t="s">
        <v>80</v>
      </c>
      <c r="AO24" t="s">
        <v>80</v>
      </c>
      <c r="AP24" t="s">
        <v>77</v>
      </c>
      <c r="AR24" t="s">
        <v>252</v>
      </c>
      <c r="AS24" t="s">
        <v>79</v>
      </c>
      <c r="AT24" t="s">
        <v>79</v>
      </c>
      <c r="AU24" t="s">
        <v>79</v>
      </c>
      <c r="AV24" t="s">
        <v>79</v>
      </c>
      <c r="AW24" t="s">
        <v>79</v>
      </c>
      <c r="AX24" t="s">
        <v>79</v>
      </c>
      <c r="AY24" t="s">
        <v>79</v>
      </c>
      <c r="AZ24" t="s">
        <v>80</v>
      </c>
      <c r="BA24" t="s">
        <v>80</v>
      </c>
      <c r="BB24" t="s">
        <v>80</v>
      </c>
      <c r="BC24" t="s">
        <v>80</v>
      </c>
      <c r="BD24" t="s">
        <v>80</v>
      </c>
      <c r="BE24" t="s">
        <v>80</v>
      </c>
      <c r="BF24" t="s">
        <v>80</v>
      </c>
      <c r="BG24" t="s">
        <v>80</v>
      </c>
      <c r="BH24" t="s">
        <v>82</v>
      </c>
      <c r="BI24" t="s">
        <v>217</v>
      </c>
      <c r="BJ24">
        <f t="shared" si="0"/>
        <v>1</v>
      </c>
      <c r="BK24">
        <f t="shared" ref="BK24:BK26" si="10">COUNTIF(AS24:BG24, "Correct") + COUNTIF(AS24:BG24, "Incorrect")</f>
        <v>7</v>
      </c>
      <c r="BL24">
        <v>1</v>
      </c>
      <c r="BM24">
        <v>7</v>
      </c>
      <c r="BN24" t="b">
        <f t="shared" si="1"/>
        <v>1</v>
      </c>
      <c r="BO24" t="b">
        <f t="shared" si="2"/>
        <v>1</v>
      </c>
      <c r="BP24" t="b">
        <f t="shared" si="3"/>
        <v>0</v>
      </c>
      <c r="BQ24" t="b">
        <v>0</v>
      </c>
      <c r="BR24">
        <f t="shared" si="4"/>
        <v>0</v>
      </c>
      <c r="BS24">
        <f t="shared" si="5"/>
        <v>1</v>
      </c>
    </row>
    <row r="25" spans="1:71" ht="20" customHeight="1" x14ac:dyDescent="0.2">
      <c r="A25" t="s">
        <v>254</v>
      </c>
      <c r="B25" s="1">
        <v>45786.747789351852</v>
      </c>
      <c r="C25" s="1">
        <v>45786.761284722219</v>
      </c>
      <c r="D25" t="s">
        <v>68</v>
      </c>
      <c r="E25" t="s">
        <v>253</v>
      </c>
      <c r="F25">
        <v>100</v>
      </c>
      <c r="G25">
        <v>1165</v>
      </c>
      <c r="H25" t="b">
        <v>1</v>
      </c>
      <c r="I25" s="1">
        <v>45786.761284722219</v>
      </c>
      <c r="J25" t="s">
        <v>254</v>
      </c>
      <c r="O25">
        <v>55.136200000000002</v>
      </c>
      <c r="P25">
        <v>-6.6737000000000002</v>
      </c>
      <c r="Q25" t="s">
        <v>71</v>
      </c>
      <c r="R25" t="s">
        <v>72</v>
      </c>
      <c r="S25" t="s">
        <v>255</v>
      </c>
      <c r="T25" t="s">
        <v>256</v>
      </c>
      <c r="U25" t="s">
        <v>257</v>
      </c>
      <c r="V25" t="s">
        <v>76</v>
      </c>
      <c r="X25" t="s">
        <v>77</v>
      </c>
      <c r="Z25" t="s">
        <v>258</v>
      </c>
      <c r="AA25" t="s">
        <v>79</v>
      </c>
      <c r="AB25" t="s">
        <v>79</v>
      </c>
      <c r="AC25" t="s">
        <v>79</v>
      </c>
      <c r="AD25" t="s">
        <v>79</v>
      </c>
      <c r="AE25" t="s">
        <v>79</v>
      </c>
      <c r="AF25" t="s">
        <v>79</v>
      </c>
      <c r="AG25" t="s">
        <v>80</v>
      </c>
      <c r="AH25" t="s">
        <v>80</v>
      </c>
      <c r="AI25" t="s">
        <v>80</v>
      </c>
      <c r="AJ25" t="s">
        <v>80</v>
      </c>
      <c r="AK25" t="s">
        <v>80</v>
      </c>
      <c r="AL25" t="s">
        <v>80</v>
      </c>
      <c r="AM25" t="s">
        <v>80</v>
      </c>
      <c r="AN25" t="s">
        <v>80</v>
      </c>
      <c r="AO25" t="s">
        <v>80</v>
      </c>
      <c r="AP25" t="s">
        <v>77</v>
      </c>
      <c r="AR25" t="s">
        <v>259</v>
      </c>
      <c r="AS25" t="s">
        <v>79</v>
      </c>
      <c r="AT25" t="s">
        <v>79</v>
      </c>
      <c r="AU25" t="s">
        <v>79</v>
      </c>
      <c r="AV25" t="s">
        <v>79</v>
      </c>
      <c r="AW25" t="s">
        <v>79</v>
      </c>
      <c r="AX25" t="s">
        <v>79</v>
      </c>
      <c r="AY25" t="s">
        <v>80</v>
      </c>
      <c r="AZ25" t="s">
        <v>80</v>
      </c>
      <c r="BA25" t="s">
        <v>80</v>
      </c>
      <c r="BB25" t="s">
        <v>80</v>
      </c>
      <c r="BC25" t="s">
        <v>80</v>
      </c>
      <c r="BD25" t="s">
        <v>80</v>
      </c>
      <c r="BE25" t="s">
        <v>80</v>
      </c>
      <c r="BF25" t="s">
        <v>80</v>
      </c>
      <c r="BG25" t="s">
        <v>80</v>
      </c>
      <c r="BH25" t="s">
        <v>260</v>
      </c>
      <c r="BI25" t="s">
        <v>255</v>
      </c>
      <c r="BJ25">
        <f t="shared" si="0"/>
        <v>6</v>
      </c>
      <c r="BK25">
        <f t="shared" si="10"/>
        <v>6</v>
      </c>
      <c r="BL25">
        <v>6</v>
      </c>
      <c r="BM25">
        <v>6</v>
      </c>
      <c r="BN25" t="b">
        <f t="shared" si="1"/>
        <v>1</v>
      </c>
      <c r="BO25" t="b">
        <f t="shared" si="2"/>
        <v>1</v>
      </c>
      <c r="BP25" t="b">
        <f t="shared" si="3"/>
        <v>0</v>
      </c>
      <c r="BQ25" t="b">
        <v>0</v>
      </c>
      <c r="BR25">
        <f t="shared" si="4"/>
        <v>1</v>
      </c>
      <c r="BS25">
        <f t="shared" si="5"/>
        <v>1</v>
      </c>
    </row>
    <row r="26" spans="1:71" ht="20" customHeight="1" x14ac:dyDescent="0.2">
      <c r="A26" t="s">
        <v>262</v>
      </c>
      <c r="B26" s="1">
        <v>45786.746898148151</v>
      </c>
      <c r="C26" s="1">
        <v>45786.761736111112</v>
      </c>
      <c r="D26" t="s">
        <v>68</v>
      </c>
      <c r="E26" t="s">
        <v>261</v>
      </c>
      <c r="F26">
        <v>100</v>
      </c>
      <c r="G26">
        <v>1281</v>
      </c>
      <c r="H26" t="b">
        <v>1</v>
      </c>
      <c r="I26" s="1">
        <v>45786.761736111112</v>
      </c>
      <c r="J26" t="s">
        <v>262</v>
      </c>
      <c r="O26">
        <v>37.750999999999998</v>
      </c>
      <c r="P26">
        <v>-97.822000000000003</v>
      </c>
      <c r="Q26" t="s">
        <v>71</v>
      </c>
      <c r="R26" t="s">
        <v>72</v>
      </c>
      <c r="S26" t="s">
        <v>263</v>
      </c>
      <c r="T26" t="s">
        <v>264</v>
      </c>
      <c r="U26" t="s">
        <v>265</v>
      </c>
      <c r="V26" t="s">
        <v>76</v>
      </c>
      <c r="X26" t="s">
        <v>77</v>
      </c>
      <c r="Z26" t="s">
        <v>266</v>
      </c>
      <c r="AA26" t="s">
        <v>805</v>
      </c>
      <c r="AB26" t="s">
        <v>80</v>
      </c>
      <c r="AC26" t="s">
        <v>80</v>
      </c>
      <c r="AD26" t="s">
        <v>80</v>
      </c>
      <c r="AE26" t="s">
        <v>80</v>
      </c>
      <c r="AF26" t="s">
        <v>80</v>
      </c>
      <c r="AG26" t="s">
        <v>80</v>
      </c>
      <c r="AH26" t="s">
        <v>80</v>
      </c>
      <c r="AI26" t="s">
        <v>80</v>
      </c>
      <c r="AJ26" t="s">
        <v>80</v>
      </c>
      <c r="AK26" t="s">
        <v>80</v>
      </c>
      <c r="AL26" t="s">
        <v>80</v>
      </c>
      <c r="AM26" t="s">
        <v>80</v>
      </c>
      <c r="AN26" t="s">
        <v>80</v>
      </c>
      <c r="AO26" t="s">
        <v>80</v>
      </c>
      <c r="AP26" t="s">
        <v>77</v>
      </c>
      <c r="AR26" t="s">
        <v>267</v>
      </c>
      <c r="AS26" t="s">
        <v>197</v>
      </c>
      <c r="AT26" t="s">
        <v>197</v>
      </c>
      <c r="AU26" t="s">
        <v>197</v>
      </c>
      <c r="AV26" t="s">
        <v>197</v>
      </c>
      <c r="AW26" t="s">
        <v>197</v>
      </c>
      <c r="AX26" t="s">
        <v>80</v>
      </c>
      <c r="AY26" t="s">
        <v>80</v>
      </c>
      <c r="AZ26" t="s">
        <v>80</v>
      </c>
      <c r="BA26" t="s">
        <v>80</v>
      </c>
      <c r="BB26" t="s">
        <v>80</v>
      </c>
      <c r="BC26" t="s">
        <v>80</v>
      </c>
      <c r="BD26" t="s">
        <v>80</v>
      </c>
      <c r="BE26" t="s">
        <v>80</v>
      </c>
      <c r="BF26" t="s">
        <v>80</v>
      </c>
      <c r="BG26" t="s">
        <v>80</v>
      </c>
      <c r="BH26" t="s">
        <v>238</v>
      </c>
      <c r="BI26" t="s">
        <v>263</v>
      </c>
      <c r="BJ26">
        <f t="shared" si="0"/>
        <v>1</v>
      </c>
      <c r="BK26">
        <f t="shared" si="10"/>
        <v>5</v>
      </c>
      <c r="BL26">
        <v>1</v>
      </c>
      <c r="BM26">
        <v>5</v>
      </c>
      <c r="BN26" t="b">
        <f t="shared" si="1"/>
        <v>1</v>
      </c>
      <c r="BO26" t="b">
        <f t="shared" si="2"/>
        <v>1</v>
      </c>
      <c r="BP26" t="b">
        <f t="shared" si="3"/>
        <v>0</v>
      </c>
      <c r="BQ26" t="b">
        <v>0</v>
      </c>
      <c r="BR26">
        <f t="shared" si="4"/>
        <v>0</v>
      </c>
      <c r="BS26">
        <f t="shared" si="5"/>
        <v>1</v>
      </c>
    </row>
    <row r="27" spans="1:71" ht="20" customHeight="1" x14ac:dyDescent="0.2">
      <c r="A27" t="s">
        <v>269</v>
      </c>
      <c r="B27" s="1">
        <v>45786.79855324074</v>
      </c>
      <c r="C27" s="1">
        <v>45786.82744212963</v>
      </c>
      <c r="D27" t="s">
        <v>68</v>
      </c>
      <c r="E27" t="s">
        <v>268</v>
      </c>
      <c r="F27">
        <v>100</v>
      </c>
      <c r="G27">
        <v>2495</v>
      </c>
      <c r="H27" t="b">
        <v>1</v>
      </c>
      <c r="I27" s="1">
        <v>45786.827453703707</v>
      </c>
      <c r="J27" t="s">
        <v>269</v>
      </c>
      <c r="O27">
        <v>42.553800000000003</v>
      </c>
      <c r="P27">
        <v>-82.918499999999995</v>
      </c>
      <c r="Q27" t="s">
        <v>71</v>
      </c>
      <c r="R27" t="s">
        <v>72</v>
      </c>
      <c r="S27" t="s">
        <v>270</v>
      </c>
      <c r="T27" t="s">
        <v>271</v>
      </c>
      <c r="U27" t="s">
        <v>272</v>
      </c>
      <c r="V27" t="s">
        <v>76</v>
      </c>
      <c r="X27" t="s">
        <v>77</v>
      </c>
      <c r="Z27" t="s">
        <v>273</v>
      </c>
      <c r="AA27" t="s">
        <v>79</v>
      </c>
      <c r="AB27" t="s">
        <v>91</v>
      </c>
      <c r="AC27" t="s">
        <v>79</v>
      </c>
      <c r="AD27" t="s">
        <v>79</v>
      </c>
      <c r="AE27" t="s">
        <v>79</v>
      </c>
      <c r="AF27" t="s">
        <v>79</v>
      </c>
      <c r="AG27" t="s">
        <v>79</v>
      </c>
      <c r="AH27" t="s">
        <v>91</v>
      </c>
      <c r="AI27" t="s">
        <v>79</v>
      </c>
      <c r="AJ27" t="s">
        <v>79</v>
      </c>
      <c r="AK27" t="s">
        <v>79</v>
      </c>
      <c r="AL27" t="s">
        <v>79</v>
      </c>
      <c r="AM27" t="s">
        <v>79</v>
      </c>
      <c r="AN27" t="s">
        <v>80</v>
      </c>
      <c r="AO27" t="s">
        <v>80</v>
      </c>
      <c r="AP27" t="s">
        <v>77</v>
      </c>
      <c r="AR27" t="s">
        <v>274</v>
      </c>
      <c r="AS27" t="s">
        <v>79</v>
      </c>
      <c r="AT27" t="s">
        <v>91</v>
      </c>
      <c r="AU27" t="s">
        <v>79</v>
      </c>
      <c r="AV27" t="s">
        <v>91</v>
      </c>
      <c r="AW27" t="s">
        <v>79</v>
      </c>
      <c r="AX27" t="s">
        <v>80</v>
      </c>
      <c r="AY27" t="s">
        <v>80</v>
      </c>
      <c r="AZ27" t="s">
        <v>80</v>
      </c>
      <c r="BA27" t="s">
        <v>80</v>
      </c>
      <c r="BB27" t="s">
        <v>80</v>
      </c>
      <c r="BC27" t="s">
        <v>80</v>
      </c>
      <c r="BD27" t="s">
        <v>80</v>
      </c>
      <c r="BE27" t="s">
        <v>80</v>
      </c>
      <c r="BF27" t="s">
        <v>80</v>
      </c>
      <c r="BG27" t="s">
        <v>80</v>
      </c>
      <c r="BH27" t="s">
        <v>92</v>
      </c>
      <c r="BI27" t="s">
        <v>270</v>
      </c>
      <c r="BJ27">
        <f t="shared" si="0"/>
        <v>13</v>
      </c>
      <c r="BK27">
        <f>COUNTIF(AS27:BG27, "Correct") + COUNTIF(AS27:BG27, "Incorrect")</f>
        <v>5</v>
      </c>
      <c r="BL27">
        <v>13</v>
      </c>
      <c r="BM27">
        <v>5</v>
      </c>
      <c r="BN27" t="b">
        <f t="shared" si="1"/>
        <v>1</v>
      </c>
      <c r="BO27" t="b">
        <f t="shared" si="2"/>
        <v>1</v>
      </c>
      <c r="BP27" t="b">
        <f t="shared" si="3"/>
        <v>0</v>
      </c>
      <c r="BQ27" t="b">
        <v>0</v>
      </c>
      <c r="BR27">
        <f t="shared" si="4"/>
        <v>0.84615384615384615</v>
      </c>
      <c r="BS27">
        <f t="shared" si="5"/>
        <v>0.6</v>
      </c>
    </row>
    <row r="28" spans="1:71" ht="20" customHeight="1" x14ac:dyDescent="0.2">
      <c r="A28" t="s">
        <v>276</v>
      </c>
      <c r="B28" s="1">
        <v>45786.794421296298</v>
      </c>
      <c r="C28" s="1">
        <v>45786.830312500002</v>
      </c>
      <c r="D28" t="s">
        <v>68</v>
      </c>
      <c r="E28" t="s">
        <v>275</v>
      </c>
      <c r="F28">
        <v>100</v>
      </c>
      <c r="G28">
        <v>3100</v>
      </c>
      <c r="H28" t="b">
        <v>1</v>
      </c>
      <c r="I28" s="1">
        <v>45786.830312500002</v>
      </c>
      <c r="J28" t="s">
        <v>276</v>
      </c>
      <c r="O28">
        <v>35.770400000000002</v>
      </c>
      <c r="P28">
        <v>-78.629300000000001</v>
      </c>
      <c r="Q28" t="s">
        <v>71</v>
      </c>
      <c r="R28" t="s">
        <v>72</v>
      </c>
      <c r="S28" t="s">
        <v>277</v>
      </c>
      <c r="T28" t="s">
        <v>278</v>
      </c>
      <c r="U28" t="s">
        <v>279</v>
      </c>
      <c r="V28" t="s">
        <v>76</v>
      </c>
      <c r="X28" t="s">
        <v>77</v>
      </c>
      <c r="Z28" t="s">
        <v>280</v>
      </c>
      <c r="AA28" t="s">
        <v>79</v>
      </c>
      <c r="AB28" t="s">
        <v>91</v>
      </c>
      <c r="AC28" t="s">
        <v>79</v>
      </c>
      <c r="AD28" t="s">
        <v>80</v>
      </c>
      <c r="AE28" t="s">
        <v>80</v>
      </c>
      <c r="AF28" t="s">
        <v>80</v>
      </c>
      <c r="AG28" t="s">
        <v>80</v>
      </c>
      <c r="AH28" t="s">
        <v>80</v>
      </c>
      <c r="AI28" t="s">
        <v>80</v>
      </c>
      <c r="AJ28" t="s">
        <v>80</v>
      </c>
      <c r="AK28" t="s">
        <v>80</v>
      </c>
      <c r="AL28" t="s">
        <v>80</v>
      </c>
      <c r="AM28" t="s">
        <v>80</v>
      </c>
      <c r="AN28" t="s">
        <v>80</v>
      </c>
      <c r="AO28" t="s">
        <v>80</v>
      </c>
      <c r="AP28" t="s">
        <v>77</v>
      </c>
      <c r="AR28" t="s">
        <v>281</v>
      </c>
      <c r="AS28" t="s">
        <v>79</v>
      </c>
      <c r="AT28" t="s">
        <v>79</v>
      </c>
      <c r="AU28" t="s">
        <v>79</v>
      </c>
      <c r="AV28" t="s">
        <v>91</v>
      </c>
      <c r="AW28" t="s">
        <v>91</v>
      </c>
      <c r="AX28" t="s">
        <v>91</v>
      </c>
      <c r="AY28" t="s">
        <v>79</v>
      </c>
      <c r="AZ28" t="s">
        <v>80</v>
      </c>
      <c r="BA28" t="s">
        <v>80</v>
      </c>
      <c r="BB28" t="s">
        <v>80</v>
      </c>
      <c r="BC28" t="s">
        <v>80</v>
      </c>
      <c r="BD28" t="s">
        <v>80</v>
      </c>
      <c r="BE28" t="s">
        <v>80</v>
      </c>
      <c r="BF28" t="s">
        <v>80</v>
      </c>
      <c r="BG28" t="s">
        <v>80</v>
      </c>
      <c r="BH28" t="s">
        <v>92</v>
      </c>
      <c r="BI28" t="s">
        <v>277</v>
      </c>
      <c r="BJ28">
        <f t="shared" si="0"/>
        <v>3</v>
      </c>
      <c r="BK28">
        <f>COUNTIF(AS28:BG28, "Correct") + COUNTIF(AS28:BG28, "Incorrect")</f>
        <v>7</v>
      </c>
      <c r="BL28">
        <v>3</v>
      </c>
      <c r="BM28">
        <v>7</v>
      </c>
      <c r="BN28" t="b">
        <f t="shared" si="1"/>
        <v>1</v>
      </c>
      <c r="BO28" t="b">
        <f t="shared" si="2"/>
        <v>1</v>
      </c>
      <c r="BP28" t="b">
        <f t="shared" si="3"/>
        <v>0</v>
      </c>
      <c r="BQ28" t="b">
        <v>0</v>
      </c>
      <c r="BR28">
        <f t="shared" si="4"/>
        <v>0.66666666666666663</v>
      </c>
      <c r="BS28">
        <f t="shared" si="5"/>
        <v>0.5714285714285714</v>
      </c>
    </row>
    <row r="29" spans="1:71" ht="20" customHeight="1" x14ac:dyDescent="0.2">
      <c r="A29" t="s">
        <v>283</v>
      </c>
      <c r="B29" s="1">
        <v>45786.790034722224</v>
      </c>
      <c r="C29" s="1">
        <v>45786.83388888889</v>
      </c>
      <c r="D29" t="s">
        <v>68</v>
      </c>
      <c r="E29" t="s">
        <v>282</v>
      </c>
      <c r="F29">
        <v>100</v>
      </c>
      <c r="G29">
        <v>3789</v>
      </c>
      <c r="H29" t="b">
        <v>1</v>
      </c>
      <c r="I29" s="1">
        <v>45786.83388888889</v>
      </c>
      <c r="J29" t="s">
        <v>283</v>
      </c>
      <c r="O29">
        <v>36.968899999999998</v>
      </c>
      <c r="P29">
        <v>-121.9903</v>
      </c>
      <c r="Q29" t="s">
        <v>71</v>
      </c>
      <c r="R29" t="s">
        <v>72</v>
      </c>
      <c r="S29" t="s">
        <v>284</v>
      </c>
      <c r="T29" t="s">
        <v>285</v>
      </c>
      <c r="U29" t="s">
        <v>286</v>
      </c>
      <c r="V29" t="s">
        <v>76</v>
      </c>
      <c r="X29" t="s">
        <v>77</v>
      </c>
      <c r="Z29" t="s">
        <v>287</v>
      </c>
      <c r="AA29" t="s">
        <v>91</v>
      </c>
      <c r="AB29" t="s">
        <v>80</v>
      </c>
      <c r="AC29" t="s">
        <v>80</v>
      </c>
      <c r="AD29" t="s">
        <v>80</v>
      </c>
      <c r="AE29" t="s">
        <v>80</v>
      </c>
      <c r="AF29" t="s">
        <v>80</v>
      </c>
      <c r="AG29" t="s">
        <v>80</v>
      </c>
      <c r="AH29" t="s">
        <v>80</v>
      </c>
      <c r="AI29" t="s">
        <v>80</v>
      </c>
      <c r="AJ29" t="s">
        <v>80</v>
      </c>
      <c r="AK29" t="s">
        <v>80</v>
      </c>
      <c r="AL29" t="s">
        <v>80</v>
      </c>
      <c r="AM29" t="s">
        <v>80</v>
      </c>
      <c r="AN29" t="s">
        <v>80</v>
      </c>
      <c r="AO29" t="s">
        <v>80</v>
      </c>
      <c r="AP29" t="s">
        <v>77</v>
      </c>
      <c r="AR29" t="s">
        <v>288</v>
      </c>
      <c r="AS29" t="s">
        <v>91</v>
      </c>
      <c r="AT29" t="s">
        <v>80</v>
      </c>
      <c r="AU29" t="s">
        <v>80</v>
      </c>
      <c r="AV29" t="s">
        <v>80</v>
      </c>
      <c r="AW29" t="s">
        <v>80</v>
      </c>
      <c r="AX29" t="s">
        <v>80</v>
      </c>
      <c r="AY29" t="s">
        <v>80</v>
      </c>
      <c r="AZ29" t="s">
        <v>80</v>
      </c>
      <c r="BA29" t="s">
        <v>80</v>
      </c>
      <c r="BB29" t="s">
        <v>80</v>
      </c>
      <c r="BC29" t="s">
        <v>80</v>
      </c>
      <c r="BD29" t="s">
        <v>80</v>
      </c>
      <c r="BE29" t="s">
        <v>80</v>
      </c>
      <c r="BF29" t="s">
        <v>80</v>
      </c>
      <c r="BG29" t="s">
        <v>80</v>
      </c>
      <c r="BH29" t="s">
        <v>92</v>
      </c>
      <c r="BI29" t="s">
        <v>284</v>
      </c>
      <c r="BJ29">
        <f t="shared" si="0"/>
        <v>1</v>
      </c>
      <c r="BK29">
        <f t="shared" ref="BK29:BK31" si="11">COUNTIF(AS29:BG29, "Correct") + COUNTIF(AS29:BG29, "Incorrect")</f>
        <v>1</v>
      </c>
      <c r="BL29">
        <v>1</v>
      </c>
      <c r="BM29">
        <v>1</v>
      </c>
      <c r="BN29" t="b">
        <f t="shared" si="1"/>
        <v>1</v>
      </c>
      <c r="BO29" t="b">
        <f t="shared" si="2"/>
        <v>1</v>
      </c>
      <c r="BP29" t="b">
        <f t="shared" si="3"/>
        <v>0</v>
      </c>
      <c r="BQ29" t="b">
        <v>0</v>
      </c>
      <c r="BR29">
        <f t="shared" si="4"/>
        <v>0</v>
      </c>
      <c r="BS29">
        <f t="shared" si="5"/>
        <v>0</v>
      </c>
    </row>
    <row r="30" spans="1:71" ht="20" customHeight="1" x14ac:dyDescent="0.2">
      <c r="A30" t="s">
        <v>290</v>
      </c>
      <c r="B30" s="1">
        <v>45786.81486111111</v>
      </c>
      <c r="C30" s="1">
        <v>45786.836342592593</v>
      </c>
      <c r="D30" t="s">
        <v>68</v>
      </c>
      <c r="E30" t="s">
        <v>289</v>
      </c>
      <c r="F30">
        <v>100</v>
      </c>
      <c r="G30">
        <v>1856</v>
      </c>
      <c r="H30" t="b">
        <v>1</v>
      </c>
      <c r="I30" s="1">
        <v>45786.836354166669</v>
      </c>
      <c r="J30" t="s">
        <v>290</v>
      </c>
      <c r="O30">
        <v>37.750999999999998</v>
      </c>
      <c r="P30">
        <v>-97.822000000000003</v>
      </c>
      <c r="Q30" t="s">
        <v>71</v>
      </c>
      <c r="R30" t="s">
        <v>72</v>
      </c>
      <c r="S30" t="s">
        <v>291</v>
      </c>
      <c r="T30" t="s">
        <v>292</v>
      </c>
      <c r="U30" t="s">
        <v>293</v>
      </c>
      <c r="V30" t="s">
        <v>76</v>
      </c>
      <c r="X30" t="s">
        <v>77</v>
      </c>
      <c r="Z30" t="s">
        <v>294</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77</v>
      </c>
      <c r="AR30" t="s">
        <v>295</v>
      </c>
      <c r="AS30" t="s">
        <v>79</v>
      </c>
      <c r="AT30" t="s">
        <v>79</v>
      </c>
      <c r="AU30" t="s">
        <v>79</v>
      </c>
      <c r="AV30" t="s">
        <v>79</v>
      </c>
      <c r="AW30" t="s">
        <v>79</v>
      </c>
      <c r="AX30" t="s">
        <v>79</v>
      </c>
      <c r="AY30" t="s">
        <v>79</v>
      </c>
      <c r="AZ30" t="s">
        <v>79</v>
      </c>
      <c r="BA30" t="s">
        <v>79</v>
      </c>
      <c r="BB30" t="s">
        <v>79</v>
      </c>
      <c r="BC30" t="s">
        <v>79</v>
      </c>
      <c r="BD30" t="s">
        <v>79</v>
      </c>
      <c r="BE30" t="s">
        <v>79</v>
      </c>
      <c r="BF30" t="s">
        <v>79</v>
      </c>
      <c r="BG30" t="s">
        <v>80</v>
      </c>
      <c r="BH30" t="s">
        <v>82</v>
      </c>
      <c r="BI30" t="s">
        <v>291</v>
      </c>
      <c r="BJ30">
        <f t="shared" si="0"/>
        <v>15</v>
      </c>
      <c r="BK30">
        <f t="shared" si="11"/>
        <v>14</v>
      </c>
      <c r="BL30">
        <v>15</v>
      </c>
      <c r="BM30">
        <v>14</v>
      </c>
      <c r="BN30" t="b">
        <f t="shared" si="1"/>
        <v>1</v>
      </c>
      <c r="BO30" t="b">
        <f t="shared" si="2"/>
        <v>1</v>
      </c>
      <c r="BP30" t="b">
        <f t="shared" si="3"/>
        <v>0</v>
      </c>
      <c r="BQ30" t="b">
        <v>0</v>
      </c>
      <c r="BR30">
        <f t="shared" si="4"/>
        <v>1</v>
      </c>
      <c r="BS30">
        <f t="shared" si="5"/>
        <v>1</v>
      </c>
    </row>
    <row r="31" spans="1:71" ht="20" customHeight="1" x14ac:dyDescent="0.2">
      <c r="A31" t="s">
        <v>297</v>
      </c>
      <c r="B31" s="1">
        <v>45786.835162037038</v>
      </c>
      <c r="C31" s="1">
        <v>45786.875810185185</v>
      </c>
      <c r="D31" t="s">
        <v>68</v>
      </c>
      <c r="E31" t="s">
        <v>296</v>
      </c>
      <c r="F31">
        <v>100</v>
      </c>
      <c r="G31">
        <v>3511</v>
      </c>
      <c r="H31" t="b">
        <v>1</v>
      </c>
      <c r="I31" s="1">
        <v>45786.875810185185</v>
      </c>
      <c r="J31" t="s">
        <v>297</v>
      </c>
      <c r="O31">
        <v>44.354599999999998</v>
      </c>
      <c r="P31">
        <v>-79.688900000000004</v>
      </c>
      <c r="Q31" t="s">
        <v>71</v>
      </c>
      <c r="R31" t="s">
        <v>72</v>
      </c>
      <c r="S31" t="s">
        <v>298</v>
      </c>
      <c r="T31" t="s">
        <v>299</v>
      </c>
      <c r="U31" t="s">
        <v>300</v>
      </c>
      <c r="V31" t="s">
        <v>76</v>
      </c>
      <c r="X31" t="s">
        <v>77</v>
      </c>
      <c r="Z31" t="s">
        <v>301</v>
      </c>
      <c r="AA31" t="s">
        <v>79</v>
      </c>
      <c r="AB31" t="s">
        <v>79</v>
      </c>
      <c r="AC31" t="s">
        <v>91</v>
      </c>
      <c r="AD31" t="s">
        <v>80</v>
      </c>
      <c r="AE31" t="s">
        <v>80</v>
      </c>
      <c r="AF31" t="s">
        <v>80</v>
      </c>
      <c r="AG31" t="s">
        <v>80</v>
      </c>
      <c r="AH31" t="s">
        <v>80</v>
      </c>
      <c r="AI31" t="s">
        <v>80</v>
      </c>
      <c r="AJ31" t="s">
        <v>80</v>
      </c>
      <c r="AK31" t="s">
        <v>80</v>
      </c>
      <c r="AL31" t="s">
        <v>80</v>
      </c>
      <c r="AM31" t="s">
        <v>80</v>
      </c>
      <c r="AN31" t="s">
        <v>80</v>
      </c>
      <c r="AO31" t="s">
        <v>80</v>
      </c>
      <c r="AP31" t="s">
        <v>77</v>
      </c>
      <c r="AR31" t="s">
        <v>302</v>
      </c>
      <c r="AS31" t="s">
        <v>79</v>
      </c>
      <c r="AT31" t="s">
        <v>79</v>
      </c>
      <c r="AU31" t="s">
        <v>79</v>
      </c>
      <c r="AV31" t="s">
        <v>79</v>
      </c>
      <c r="AW31" t="s">
        <v>79</v>
      </c>
      <c r="AX31" t="s">
        <v>91</v>
      </c>
      <c r="AY31" t="s">
        <v>79</v>
      </c>
      <c r="AZ31" t="s">
        <v>91</v>
      </c>
      <c r="BA31" t="s">
        <v>79</v>
      </c>
      <c r="BB31" t="s">
        <v>79</v>
      </c>
      <c r="BC31" t="s">
        <v>91</v>
      </c>
      <c r="BD31" t="s">
        <v>80</v>
      </c>
      <c r="BE31" t="s">
        <v>80</v>
      </c>
      <c r="BF31" t="s">
        <v>80</v>
      </c>
      <c r="BG31" t="s">
        <v>80</v>
      </c>
      <c r="BH31" t="s">
        <v>82</v>
      </c>
      <c r="BI31" t="s">
        <v>298</v>
      </c>
      <c r="BJ31">
        <f t="shared" si="0"/>
        <v>3</v>
      </c>
      <c r="BK31">
        <f t="shared" si="11"/>
        <v>11</v>
      </c>
      <c r="BL31">
        <v>3</v>
      </c>
      <c r="BM31">
        <v>11</v>
      </c>
      <c r="BN31" t="b">
        <f t="shared" si="1"/>
        <v>1</v>
      </c>
      <c r="BO31" t="b">
        <f t="shared" si="2"/>
        <v>1</v>
      </c>
      <c r="BP31" t="b">
        <f t="shared" si="3"/>
        <v>0</v>
      </c>
      <c r="BQ31" t="b">
        <v>0</v>
      </c>
      <c r="BR31">
        <f t="shared" si="4"/>
        <v>0.66666666666666663</v>
      </c>
      <c r="BS31">
        <f t="shared" si="5"/>
        <v>0.72727272727272729</v>
      </c>
    </row>
    <row r="32" spans="1:71" ht="20" customHeight="1" x14ac:dyDescent="0.2">
      <c r="A32" t="s">
        <v>304</v>
      </c>
      <c r="B32" s="1">
        <v>45786.875034722223</v>
      </c>
      <c r="C32" s="1">
        <v>45786.891643518517</v>
      </c>
      <c r="D32" t="s">
        <v>68</v>
      </c>
      <c r="E32" t="s">
        <v>303</v>
      </c>
      <c r="F32">
        <v>100</v>
      </c>
      <c r="G32">
        <v>1435</v>
      </c>
      <c r="H32" t="b">
        <v>1</v>
      </c>
      <c r="I32" s="1">
        <v>45786.891655092593</v>
      </c>
      <c r="J32" t="s">
        <v>304</v>
      </c>
      <c r="O32">
        <v>38.587899999999998</v>
      </c>
      <c r="P32">
        <v>-121.4053</v>
      </c>
      <c r="Q32" t="s">
        <v>71</v>
      </c>
      <c r="R32" t="s">
        <v>72</v>
      </c>
      <c r="S32" t="s">
        <v>305</v>
      </c>
      <c r="T32" t="s">
        <v>306</v>
      </c>
      <c r="U32" t="s">
        <v>307</v>
      </c>
      <c r="V32" t="s">
        <v>76</v>
      </c>
      <c r="X32" t="s">
        <v>77</v>
      </c>
      <c r="Z32" t="s">
        <v>308</v>
      </c>
      <c r="AA32" t="s">
        <v>79</v>
      </c>
      <c r="AB32" t="s">
        <v>79</v>
      </c>
      <c r="AC32" t="s">
        <v>79</v>
      </c>
      <c r="AD32" t="s">
        <v>79</v>
      </c>
      <c r="AE32" t="s">
        <v>80</v>
      </c>
      <c r="AF32" t="s">
        <v>80</v>
      </c>
      <c r="AG32" t="s">
        <v>80</v>
      </c>
      <c r="AH32" t="s">
        <v>80</v>
      </c>
      <c r="AI32" t="s">
        <v>80</v>
      </c>
      <c r="AJ32" t="s">
        <v>80</v>
      </c>
      <c r="AK32" t="s">
        <v>80</v>
      </c>
      <c r="AL32" t="s">
        <v>80</v>
      </c>
      <c r="AM32" t="s">
        <v>80</v>
      </c>
      <c r="AN32" t="s">
        <v>80</v>
      </c>
      <c r="AO32" t="s">
        <v>80</v>
      </c>
      <c r="AP32" t="s">
        <v>113</v>
      </c>
      <c r="AQ32" s="2" t="s">
        <v>309</v>
      </c>
      <c r="AR32" t="s">
        <v>310</v>
      </c>
      <c r="AS32" t="s">
        <v>91</v>
      </c>
      <c r="AT32" t="s">
        <v>91</v>
      </c>
      <c r="AU32" t="s">
        <v>91</v>
      </c>
      <c r="AV32" t="s">
        <v>91</v>
      </c>
      <c r="AW32" t="s">
        <v>91</v>
      </c>
      <c r="AX32" t="s">
        <v>91</v>
      </c>
      <c r="AY32" t="s">
        <v>80</v>
      </c>
      <c r="AZ32" t="s">
        <v>80</v>
      </c>
      <c r="BA32" t="s">
        <v>80</v>
      </c>
      <c r="BB32" t="s">
        <v>80</v>
      </c>
      <c r="BC32" t="s">
        <v>80</v>
      </c>
      <c r="BD32" t="s">
        <v>80</v>
      </c>
      <c r="BE32" t="s">
        <v>80</v>
      </c>
      <c r="BF32" t="s">
        <v>80</v>
      </c>
      <c r="BG32" t="s">
        <v>80</v>
      </c>
      <c r="BH32" t="s">
        <v>199</v>
      </c>
      <c r="BI32" t="s">
        <v>305</v>
      </c>
      <c r="BJ32">
        <f t="shared" si="0"/>
        <v>4</v>
      </c>
      <c r="BK32">
        <f>COUNTIF(AS32:BG32, "Correct") + COUNTIF(AS32:BG32, "Incorrect")</f>
        <v>6</v>
      </c>
      <c r="BL32">
        <v>4</v>
      </c>
      <c r="BM32">
        <v>6</v>
      </c>
      <c r="BN32" t="b">
        <f t="shared" si="1"/>
        <v>1</v>
      </c>
      <c r="BO32" t="b">
        <f t="shared" si="2"/>
        <v>1</v>
      </c>
      <c r="BP32" t="b">
        <f t="shared" si="3"/>
        <v>0</v>
      </c>
      <c r="BQ32" t="b">
        <v>0</v>
      </c>
      <c r="BR32">
        <f t="shared" si="4"/>
        <v>1</v>
      </c>
      <c r="BS32">
        <f t="shared" si="5"/>
        <v>0</v>
      </c>
    </row>
    <row r="33" spans="1:71" ht="20" customHeight="1" x14ac:dyDescent="0.2">
      <c r="A33" t="s">
        <v>312</v>
      </c>
      <c r="B33" s="1">
        <v>45786.882905092592</v>
      </c>
      <c r="C33" s="1">
        <v>45786.898333333331</v>
      </c>
      <c r="D33" t="s">
        <v>68</v>
      </c>
      <c r="E33" t="s">
        <v>311</v>
      </c>
      <c r="F33">
        <v>100</v>
      </c>
      <c r="G33">
        <v>1332</v>
      </c>
      <c r="H33" t="b">
        <v>1</v>
      </c>
      <c r="I33" s="1">
        <v>45786.898344907408</v>
      </c>
      <c r="J33" t="s">
        <v>312</v>
      </c>
      <c r="O33">
        <v>43.867800000000003</v>
      </c>
      <c r="P33">
        <v>-79.441999999999993</v>
      </c>
      <c r="Q33" t="s">
        <v>71</v>
      </c>
      <c r="R33" t="s">
        <v>72</v>
      </c>
      <c r="S33" t="s">
        <v>313</v>
      </c>
      <c r="T33" t="s">
        <v>314</v>
      </c>
      <c r="U33" t="s">
        <v>315</v>
      </c>
      <c r="V33" t="s">
        <v>76</v>
      </c>
      <c r="X33" t="s">
        <v>77</v>
      </c>
      <c r="Z33" t="s">
        <v>316</v>
      </c>
      <c r="AA33" t="s">
        <v>79</v>
      </c>
      <c r="AB33" t="s">
        <v>79</v>
      </c>
      <c r="AC33" t="s">
        <v>79</v>
      </c>
      <c r="AD33" t="s">
        <v>79</v>
      </c>
      <c r="AE33" t="s">
        <v>79</v>
      </c>
      <c r="AF33" t="s">
        <v>79</v>
      </c>
      <c r="AG33" t="s">
        <v>91</v>
      </c>
      <c r="AH33" t="s">
        <v>79</v>
      </c>
      <c r="AI33" t="s">
        <v>79</v>
      </c>
      <c r="AJ33" t="s">
        <v>79</v>
      </c>
      <c r="AK33" t="s">
        <v>79</v>
      </c>
      <c r="AL33" t="s">
        <v>91</v>
      </c>
      <c r="AM33" t="s">
        <v>79</v>
      </c>
      <c r="AN33" t="s">
        <v>80</v>
      </c>
      <c r="AO33" t="s">
        <v>80</v>
      </c>
      <c r="AP33" t="s">
        <v>77</v>
      </c>
      <c r="AR33" t="s">
        <v>317</v>
      </c>
      <c r="AS33" t="s">
        <v>91</v>
      </c>
      <c r="AT33" t="s">
        <v>80</v>
      </c>
      <c r="AU33" t="s">
        <v>80</v>
      </c>
      <c r="AV33" t="s">
        <v>80</v>
      </c>
      <c r="AW33" t="s">
        <v>80</v>
      </c>
      <c r="AX33" t="s">
        <v>80</v>
      </c>
      <c r="AY33" t="s">
        <v>80</v>
      </c>
      <c r="AZ33" t="s">
        <v>80</v>
      </c>
      <c r="BA33" t="s">
        <v>80</v>
      </c>
      <c r="BB33" t="s">
        <v>80</v>
      </c>
      <c r="BC33" t="s">
        <v>80</v>
      </c>
      <c r="BD33" t="s">
        <v>80</v>
      </c>
      <c r="BE33" t="s">
        <v>80</v>
      </c>
      <c r="BF33" t="s">
        <v>80</v>
      </c>
      <c r="BG33" t="s">
        <v>80</v>
      </c>
      <c r="BH33" t="s">
        <v>92</v>
      </c>
      <c r="BI33" t="s">
        <v>313</v>
      </c>
      <c r="BJ33">
        <f t="shared" si="0"/>
        <v>13</v>
      </c>
      <c r="BK33">
        <f>COUNTIF(AS33:BG33, "Correct") + COUNTIF(AS33:BG33, "Incorrect")</f>
        <v>1</v>
      </c>
      <c r="BL33">
        <v>13</v>
      </c>
      <c r="BM33">
        <v>1</v>
      </c>
      <c r="BN33" t="b">
        <f t="shared" si="1"/>
        <v>1</v>
      </c>
      <c r="BO33" t="b">
        <f t="shared" si="2"/>
        <v>1</v>
      </c>
      <c r="BP33" t="b">
        <f t="shared" si="3"/>
        <v>0</v>
      </c>
      <c r="BQ33" t="b">
        <v>0</v>
      </c>
      <c r="BR33">
        <f t="shared" si="4"/>
        <v>0.84615384615384615</v>
      </c>
      <c r="BS33">
        <f t="shared" si="5"/>
        <v>0</v>
      </c>
    </row>
    <row r="34" spans="1:71" ht="20" customHeight="1" x14ac:dyDescent="0.2">
      <c r="A34" t="s">
        <v>319</v>
      </c>
      <c r="B34" s="1">
        <v>45786.871967592589</v>
      </c>
      <c r="C34" s="1">
        <v>45786.911157407405</v>
      </c>
      <c r="D34" t="s">
        <v>68</v>
      </c>
      <c r="E34" t="s">
        <v>318</v>
      </c>
      <c r="F34">
        <v>100</v>
      </c>
      <c r="G34">
        <v>3385</v>
      </c>
      <c r="H34" t="b">
        <v>1</v>
      </c>
      <c r="I34" s="1">
        <v>45786.911168981482</v>
      </c>
      <c r="J34" t="s">
        <v>319</v>
      </c>
      <c r="O34">
        <v>37.750999999999998</v>
      </c>
      <c r="P34">
        <v>-97.822000000000003</v>
      </c>
      <c r="Q34" t="s">
        <v>71</v>
      </c>
      <c r="R34" t="s">
        <v>72</v>
      </c>
      <c r="S34" t="s">
        <v>320</v>
      </c>
      <c r="T34" t="s">
        <v>321</v>
      </c>
      <c r="U34" t="s">
        <v>322</v>
      </c>
      <c r="V34" t="s">
        <v>76</v>
      </c>
      <c r="X34" t="s">
        <v>77</v>
      </c>
      <c r="Z34" t="s">
        <v>323</v>
      </c>
      <c r="AA34" t="s">
        <v>79</v>
      </c>
      <c r="AB34" t="s">
        <v>79</v>
      </c>
      <c r="AC34" t="s">
        <v>91</v>
      </c>
      <c r="AD34" t="s">
        <v>91</v>
      </c>
      <c r="AE34" t="s">
        <v>91</v>
      </c>
      <c r="AF34" t="s">
        <v>91</v>
      </c>
      <c r="AG34" t="s">
        <v>91</v>
      </c>
      <c r="AH34" t="s">
        <v>91</v>
      </c>
      <c r="AI34" t="s">
        <v>91</v>
      </c>
      <c r="AJ34" t="s">
        <v>80</v>
      </c>
      <c r="AK34" t="s">
        <v>80</v>
      </c>
      <c r="AL34" t="s">
        <v>80</v>
      </c>
      <c r="AM34" t="s">
        <v>80</v>
      </c>
      <c r="AN34" t="s">
        <v>80</v>
      </c>
      <c r="AO34" t="s">
        <v>80</v>
      </c>
      <c r="AP34" t="s">
        <v>77</v>
      </c>
      <c r="AR34" t="s">
        <v>324</v>
      </c>
      <c r="AS34" t="s">
        <v>91</v>
      </c>
      <c r="AT34" t="s">
        <v>80</v>
      </c>
      <c r="AU34" t="s">
        <v>80</v>
      </c>
      <c r="AV34" t="s">
        <v>80</v>
      </c>
      <c r="AW34" t="s">
        <v>80</v>
      </c>
      <c r="AX34" t="s">
        <v>80</v>
      </c>
      <c r="AY34" t="s">
        <v>80</v>
      </c>
      <c r="AZ34" t="s">
        <v>80</v>
      </c>
      <c r="BA34" t="s">
        <v>80</v>
      </c>
      <c r="BB34" t="s">
        <v>80</v>
      </c>
      <c r="BC34" t="s">
        <v>80</v>
      </c>
      <c r="BD34" t="s">
        <v>80</v>
      </c>
      <c r="BE34" t="s">
        <v>80</v>
      </c>
      <c r="BF34" t="s">
        <v>80</v>
      </c>
      <c r="BG34" t="s">
        <v>80</v>
      </c>
      <c r="BH34" t="s">
        <v>92</v>
      </c>
      <c r="BI34" t="s">
        <v>320</v>
      </c>
      <c r="BJ34">
        <f t="shared" ref="BJ34:BJ65" si="12">COUNTIF(AA34:AO34, "Correct") + COUNTIF(AA34:AO34, "Incorrect")</f>
        <v>9</v>
      </c>
      <c r="BK34">
        <f t="shared" ref="BK34:BK36" si="13">COUNTIF(AS34:BG34, "Correct") + COUNTIF(AS34:BG34, "Incorrect")</f>
        <v>1</v>
      </c>
      <c r="BL34">
        <v>9</v>
      </c>
      <c r="BM34">
        <v>1</v>
      </c>
      <c r="BN34" t="b">
        <f t="shared" si="1"/>
        <v>1</v>
      </c>
      <c r="BO34" t="b">
        <f t="shared" si="2"/>
        <v>1</v>
      </c>
      <c r="BP34" t="b">
        <f t="shared" si="3"/>
        <v>0</v>
      </c>
      <c r="BQ34" t="b">
        <v>0</v>
      </c>
      <c r="BR34">
        <f t="shared" si="4"/>
        <v>0.22222222222222221</v>
      </c>
      <c r="BS34">
        <f t="shared" si="5"/>
        <v>0</v>
      </c>
    </row>
    <row r="35" spans="1:71" ht="20" customHeight="1" x14ac:dyDescent="0.2">
      <c r="A35" t="s">
        <v>326</v>
      </c>
      <c r="B35" s="1">
        <v>45786.902349537035</v>
      </c>
      <c r="C35" s="1">
        <v>45786.928761574076</v>
      </c>
      <c r="D35" t="s">
        <v>68</v>
      </c>
      <c r="E35" t="s">
        <v>325</v>
      </c>
      <c r="F35">
        <v>100</v>
      </c>
      <c r="G35">
        <v>2281</v>
      </c>
      <c r="H35" t="b">
        <v>1</v>
      </c>
      <c r="I35" s="1">
        <v>45786.928761574076</v>
      </c>
      <c r="J35" t="s">
        <v>326</v>
      </c>
      <c r="O35">
        <v>43.781300000000002</v>
      </c>
      <c r="P35">
        <v>-79.301900000000003</v>
      </c>
      <c r="Q35" t="s">
        <v>71</v>
      </c>
      <c r="R35" t="s">
        <v>72</v>
      </c>
      <c r="S35" t="s">
        <v>327</v>
      </c>
      <c r="T35" t="s">
        <v>328</v>
      </c>
      <c r="U35" t="s">
        <v>329</v>
      </c>
      <c r="V35" t="s">
        <v>76</v>
      </c>
      <c r="W35" t="s">
        <v>330</v>
      </c>
      <c r="X35" t="s">
        <v>77</v>
      </c>
      <c r="Z35" t="s">
        <v>331</v>
      </c>
      <c r="AA35" t="s">
        <v>91</v>
      </c>
      <c r="AB35" t="s">
        <v>197</v>
      </c>
      <c r="AC35" t="s">
        <v>91</v>
      </c>
      <c r="AD35" t="s">
        <v>80</v>
      </c>
      <c r="AE35" t="s">
        <v>80</v>
      </c>
      <c r="AF35" t="s">
        <v>80</v>
      </c>
      <c r="AG35" t="s">
        <v>80</v>
      </c>
      <c r="AH35" t="s">
        <v>80</v>
      </c>
      <c r="AI35" t="s">
        <v>80</v>
      </c>
      <c r="AJ35" t="s">
        <v>80</v>
      </c>
      <c r="AK35" t="s">
        <v>80</v>
      </c>
      <c r="AL35" t="s">
        <v>80</v>
      </c>
      <c r="AM35" t="s">
        <v>80</v>
      </c>
      <c r="AN35" t="s">
        <v>80</v>
      </c>
      <c r="AO35" t="s">
        <v>80</v>
      </c>
      <c r="AP35" t="s">
        <v>77</v>
      </c>
      <c r="AR35" t="s">
        <v>332</v>
      </c>
      <c r="AS35" t="s">
        <v>79</v>
      </c>
      <c r="AT35" t="s">
        <v>91</v>
      </c>
      <c r="AU35" t="s">
        <v>79</v>
      </c>
      <c r="AV35" t="s">
        <v>80</v>
      </c>
      <c r="AW35" t="s">
        <v>80</v>
      </c>
      <c r="AX35" t="s">
        <v>80</v>
      </c>
      <c r="AY35" t="s">
        <v>80</v>
      </c>
      <c r="AZ35" t="s">
        <v>80</v>
      </c>
      <c r="BA35" t="s">
        <v>80</v>
      </c>
      <c r="BB35" t="s">
        <v>80</v>
      </c>
      <c r="BC35" t="s">
        <v>80</v>
      </c>
      <c r="BD35" t="s">
        <v>80</v>
      </c>
      <c r="BE35" t="s">
        <v>80</v>
      </c>
      <c r="BF35" t="s">
        <v>80</v>
      </c>
      <c r="BG35" t="s">
        <v>80</v>
      </c>
      <c r="BH35" t="s">
        <v>82</v>
      </c>
      <c r="BI35" t="s">
        <v>327</v>
      </c>
      <c r="BJ35">
        <f t="shared" si="12"/>
        <v>3</v>
      </c>
      <c r="BK35">
        <f t="shared" si="13"/>
        <v>3</v>
      </c>
      <c r="BL35">
        <v>3</v>
      </c>
      <c r="BM35">
        <v>3</v>
      </c>
      <c r="BN35" t="b">
        <f t="shared" si="1"/>
        <v>1</v>
      </c>
      <c r="BO35" t="b">
        <f t="shared" si="2"/>
        <v>1</v>
      </c>
      <c r="BP35" t="b">
        <f t="shared" si="3"/>
        <v>0</v>
      </c>
      <c r="BQ35" t="b">
        <v>0</v>
      </c>
      <c r="BR35">
        <f t="shared" si="4"/>
        <v>0.33333333333333331</v>
      </c>
      <c r="BS35">
        <f t="shared" si="5"/>
        <v>0.66666666666666663</v>
      </c>
    </row>
    <row r="36" spans="1:71" ht="20" customHeight="1" x14ac:dyDescent="0.2">
      <c r="A36" t="s">
        <v>334</v>
      </c>
      <c r="B36" s="1">
        <v>45787.940138888887</v>
      </c>
      <c r="C36" s="1">
        <v>45787.944293981483</v>
      </c>
      <c r="D36" t="s">
        <v>68</v>
      </c>
      <c r="E36" t="s">
        <v>333</v>
      </c>
      <c r="F36">
        <v>100</v>
      </c>
      <c r="G36">
        <v>358</v>
      </c>
      <c r="H36" t="b">
        <v>1</v>
      </c>
      <c r="I36" s="1">
        <v>45787.944305555553</v>
      </c>
      <c r="J36" t="s">
        <v>334</v>
      </c>
      <c r="O36">
        <v>-43.533299999999997</v>
      </c>
      <c r="P36">
        <v>172.63329999999999</v>
      </c>
      <c r="Q36" t="s">
        <v>71</v>
      </c>
      <c r="R36" t="s">
        <v>72</v>
      </c>
      <c r="S36" t="s">
        <v>335</v>
      </c>
      <c r="T36" t="s">
        <v>336</v>
      </c>
      <c r="U36">
        <v>2</v>
      </c>
      <c r="V36" t="s">
        <v>76</v>
      </c>
      <c r="X36" t="s">
        <v>77</v>
      </c>
      <c r="Z36" t="s">
        <v>337</v>
      </c>
      <c r="AA36" t="s">
        <v>79</v>
      </c>
      <c r="AB36" t="s">
        <v>79</v>
      </c>
      <c r="AC36" t="s">
        <v>79</v>
      </c>
      <c r="AD36" t="s">
        <v>80</v>
      </c>
      <c r="AE36" t="s">
        <v>80</v>
      </c>
      <c r="AF36" t="s">
        <v>80</v>
      </c>
      <c r="AG36" t="s">
        <v>80</v>
      </c>
      <c r="AH36" t="s">
        <v>80</v>
      </c>
      <c r="AI36" t="s">
        <v>80</v>
      </c>
      <c r="AJ36" t="s">
        <v>80</v>
      </c>
      <c r="AK36" t="s">
        <v>80</v>
      </c>
      <c r="AL36" t="s">
        <v>80</v>
      </c>
      <c r="AM36" t="s">
        <v>80</v>
      </c>
      <c r="AN36" t="s">
        <v>80</v>
      </c>
      <c r="AO36" t="s">
        <v>80</v>
      </c>
      <c r="AP36" t="s">
        <v>77</v>
      </c>
      <c r="AR36" t="s">
        <v>338</v>
      </c>
      <c r="AS36" t="s">
        <v>79</v>
      </c>
      <c r="AT36" t="s">
        <v>79</v>
      </c>
      <c r="AU36" t="s">
        <v>79</v>
      </c>
      <c r="AV36" t="s">
        <v>80</v>
      </c>
      <c r="AW36" t="s">
        <v>80</v>
      </c>
      <c r="AX36" t="s">
        <v>80</v>
      </c>
      <c r="AY36" t="s">
        <v>80</v>
      </c>
      <c r="AZ36" t="s">
        <v>80</v>
      </c>
      <c r="BA36" t="s">
        <v>80</v>
      </c>
      <c r="BB36" t="s">
        <v>80</v>
      </c>
      <c r="BC36" t="s">
        <v>80</v>
      </c>
      <c r="BD36" t="s">
        <v>80</v>
      </c>
      <c r="BE36" t="s">
        <v>80</v>
      </c>
      <c r="BF36" t="s">
        <v>80</v>
      </c>
      <c r="BG36" t="s">
        <v>80</v>
      </c>
      <c r="BH36" t="s">
        <v>92</v>
      </c>
      <c r="BI36" t="s">
        <v>335</v>
      </c>
      <c r="BJ36">
        <f t="shared" si="12"/>
        <v>3</v>
      </c>
      <c r="BK36">
        <f t="shared" si="13"/>
        <v>3</v>
      </c>
      <c r="BL36">
        <v>3</v>
      </c>
      <c r="BM36">
        <v>3</v>
      </c>
      <c r="BN36" t="b">
        <f t="shared" si="1"/>
        <v>1</v>
      </c>
      <c r="BO36" t="b">
        <f t="shared" si="2"/>
        <v>1</v>
      </c>
      <c r="BP36" t="b">
        <f t="shared" si="3"/>
        <v>0</v>
      </c>
      <c r="BQ36" t="b">
        <v>0</v>
      </c>
      <c r="BR36">
        <f t="shared" si="4"/>
        <v>1</v>
      </c>
      <c r="BS36">
        <f t="shared" si="5"/>
        <v>1</v>
      </c>
    </row>
    <row r="37" spans="1:71" ht="20" customHeight="1" x14ac:dyDescent="0.2">
      <c r="A37" t="s">
        <v>339</v>
      </c>
      <c r="B37" s="1">
        <v>45787.927499999998</v>
      </c>
      <c r="C37" s="1">
        <v>45787.982245370367</v>
      </c>
      <c r="D37" t="s">
        <v>68</v>
      </c>
      <c r="E37" t="s">
        <v>318</v>
      </c>
      <c r="F37">
        <v>100</v>
      </c>
      <c r="G37">
        <v>4729</v>
      </c>
      <c r="H37" t="b">
        <v>1</v>
      </c>
      <c r="I37" s="1">
        <v>45787.982245370367</v>
      </c>
      <c r="J37" t="s">
        <v>339</v>
      </c>
      <c r="O37">
        <v>37.750999999999998</v>
      </c>
      <c r="P37">
        <v>-97.822000000000003</v>
      </c>
      <c r="Q37" t="s">
        <v>71</v>
      </c>
      <c r="R37" t="s">
        <v>72</v>
      </c>
      <c r="S37" t="s">
        <v>320</v>
      </c>
      <c r="T37" t="s">
        <v>340</v>
      </c>
      <c r="U37" t="s">
        <v>341</v>
      </c>
      <c r="V37" t="s">
        <v>76</v>
      </c>
      <c r="X37" t="s">
        <v>77</v>
      </c>
      <c r="Z37" t="s">
        <v>342</v>
      </c>
      <c r="AA37" t="s">
        <v>79</v>
      </c>
      <c r="AB37" t="s">
        <v>79</v>
      </c>
      <c r="AC37" t="s">
        <v>79</v>
      </c>
      <c r="AD37" t="s">
        <v>79</v>
      </c>
      <c r="AE37" t="s">
        <v>79</v>
      </c>
      <c r="AF37" t="s">
        <v>79</v>
      </c>
      <c r="AG37" t="s">
        <v>79</v>
      </c>
      <c r="AH37" t="s">
        <v>79</v>
      </c>
      <c r="AI37" t="s">
        <v>79</v>
      </c>
      <c r="AJ37" t="s">
        <v>79</v>
      </c>
      <c r="AK37" t="s">
        <v>80</v>
      </c>
      <c r="AL37" t="s">
        <v>80</v>
      </c>
      <c r="AM37" t="s">
        <v>80</v>
      </c>
      <c r="AN37" t="s">
        <v>80</v>
      </c>
      <c r="AO37" t="s">
        <v>80</v>
      </c>
      <c r="AP37" t="s">
        <v>77</v>
      </c>
      <c r="AR37" t="s">
        <v>343</v>
      </c>
      <c r="AS37" t="s">
        <v>79</v>
      </c>
      <c r="AT37" t="s">
        <v>79</v>
      </c>
      <c r="AU37" t="s">
        <v>79</v>
      </c>
      <c r="AV37" t="s">
        <v>91</v>
      </c>
      <c r="AW37" t="s">
        <v>79</v>
      </c>
      <c r="AX37" t="s">
        <v>79</v>
      </c>
      <c r="AY37" t="s">
        <v>80</v>
      </c>
      <c r="AZ37" t="s">
        <v>80</v>
      </c>
      <c r="BA37" t="s">
        <v>80</v>
      </c>
      <c r="BB37" t="s">
        <v>80</v>
      </c>
      <c r="BC37" t="s">
        <v>80</v>
      </c>
      <c r="BD37" t="s">
        <v>80</v>
      </c>
      <c r="BE37" t="s">
        <v>80</v>
      </c>
      <c r="BF37" t="s">
        <v>80</v>
      </c>
      <c r="BG37" t="s">
        <v>80</v>
      </c>
      <c r="BH37" t="s">
        <v>92</v>
      </c>
      <c r="BI37" t="s">
        <v>320</v>
      </c>
      <c r="BJ37">
        <f t="shared" si="12"/>
        <v>10</v>
      </c>
      <c r="BK37">
        <f>COUNTIF(AS37:BG37, "Correct") + COUNTIF(AS37:BG37, "Incorrect")</f>
        <v>6</v>
      </c>
      <c r="BL37">
        <v>10</v>
      </c>
      <c r="BM37">
        <v>6</v>
      </c>
      <c r="BN37" t="b">
        <f t="shared" si="1"/>
        <v>1</v>
      </c>
      <c r="BO37" t="b">
        <f t="shared" si="2"/>
        <v>1</v>
      </c>
      <c r="BP37" t="b">
        <f t="shared" si="3"/>
        <v>0</v>
      </c>
      <c r="BQ37" t="b">
        <v>0</v>
      </c>
      <c r="BR37">
        <f t="shared" si="4"/>
        <v>1</v>
      </c>
      <c r="BS37">
        <f t="shared" si="5"/>
        <v>0.83333333333333337</v>
      </c>
    </row>
    <row r="38" spans="1:71" ht="20" customHeight="1" x14ac:dyDescent="0.2">
      <c r="A38" t="s">
        <v>345</v>
      </c>
      <c r="B38" s="1">
        <v>45787.941006944442</v>
      </c>
      <c r="C38" s="1">
        <v>45787.986689814818</v>
      </c>
      <c r="D38" t="s">
        <v>68</v>
      </c>
      <c r="E38" t="s">
        <v>344</v>
      </c>
      <c r="F38">
        <v>100</v>
      </c>
      <c r="G38">
        <v>3946</v>
      </c>
      <c r="H38" t="b">
        <v>1</v>
      </c>
      <c r="I38" s="1">
        <v>45787.986689814818</v>
      </c>
      <c r="J38" t="s">
        <v>345</v>
      </c>
      <c r="O38">
        <v>43.185400000000001</v>
      </c>
      <c r="P38">
        <v>-79.713899999999995</v>
      </c>
      <c r="Q38" t="s">
        <v>71</v>
      </c>
      <c r="R38" t="s">
        <v>72</v>
      </c>
      <c r="S38" t="s">
        <v>346</v>
      </c>
      <c r="T38" t="s">
        <v>347</v>
      </c>
      <c r="U38" t="s">
        <v>348</v>
      </c>
      <c r="V38" t="s">
        <v>76</v>
      </c>
      <c r="W38" t="s">
        <v>349</v>
      </c>
      <c r="X38" t="s">
        <v>77</v>
      </c>
      <c r="Z38" t="s">
        <v>350</v>
      </c>
      <c r="AA38" t="s">
        <v>91</v>
      </c>
      <c r="AB38" t="s">
        <v>80</v>
      </c>
      <c r="AC38" t="s">
        <v>80</v>
      </c>
      <c r="AD38" t="s">
        <v>80</v>
      </c>
      <c r="AE38" t="s">
        <v>80</v>
      </c>
      <c r="AF38" t="s">
        <v>80</v>
      </c>
      <c r="AG38" t="s">
        <v>80</v>
      </c>
      <c r="AH38" t="s">
        <v>80</v>
      </c>
      <c r="AI38" t="s">
        <v>80</v>
      </c>
      <c r="AJ38" t="s">
        <v>80</v>
      </c>
      <c r="AK38" t="s">
        <v>80</v>
      </c>
      <c r="AL38" t="s">
        <v>80</v>
      </c>
      <c r="AM38" t="s">
        <v>80</v>
      </c>
      <c r="AN38" t="s">
        <v>80</v>
      </c>
      <c r="AO38" t="s">
        <v>80</v>
      </c>
      <c r="AP38" t="s">
        <v>77</v>
      </c>
      <c r="AR38" t="s">
        <v>351</v>
      </c>
      <c r="AS38" t="s">
        <v>79</v>
      </c>
      <c r="AT38" t="s">
        <v>79</v>
      </c>
      <c r="AU38" t="s">
        <v>79</v>
      </c>
      <c r="AV38" t="s">
        <v>79</v>
      </c>
      <c r="AW38" t="s">
        <v>91</v>
      </c>
      <c r="AX38" t="s">
        <v>91</v>
      </c>
      <c r="AY38" t="s">
        <v>91</v>
      </c>
      <c r="AZ38" t="s">
        <v>91</v>
      </c>
      <c r="BA38" t="s">
        <v>91</v>
      </c>
      <c r="BB38" t="s">
        <v>91</v>
      </c>
      <c r="BC38" t="s">
        <v>91</v>
      </c>
      <c r="BD38" t="s">
        <v>91</v>
      </c>
      <c r="BE38" t="s">
        <v>91</v>
      </c>
      <c r="BF38" t="s">
        <v>80</v>
      </c>
      <c r="BG38" t="s">
        <v>80</v>
      </c>
      <c r="BH38" t="s">
        <v>82</v>
      </c>
      <c r="BI38" t="s">
        <v>346</v>
      </c>
      <c r="BJ38">
        <f t="shared" si="12"/>
        <v>1</v>
      </c>
      <c r="BK38">
        <f>COUNTIF(AS38:BG38, "Correct") + COUNTIF(AS38:BG38, "Incorrect")</f>
        <v>13</v>
      </c>
      <c r="BL38">
        <v>1</v>
      </c>
      <c r="BM38">
        <v>13</v>
      </c>
      <c r="BN38" t="b">
        <f t="shared" si="1"/>
        <v>1</v>
      </c>
      <c r="BO38" t="b">
        <f t="shared" si="2"/>
        <v>1</v>
      </c>
      <c r="BP38" t="b">
        <f t="shared" si="3"/>
        <v>0</v>
      </c>
      <c r="BQ38" t="b">
        <v>0</v>
      </c>
      <c r="BR38">
        <f t="shared" si="4"/>
        <v>0</v>
      </c>
      <c r="BS38">
        <f t="shared" si="5"/>
        <v>0.30769230769230771</v>
      </c>
    </row>
    <row r="39" spans="1:71" ht="20" customHeight="1" x14ac:dyDescent="0.2">
      <c r="A39" t="s">
        <v>353</v>
      </c>
      <c r="B39" s="1">
        <v>45787.986250000002</v>
      </c>
      <c r="C39" s="1">
        <v>45788.005046296297</v>
      </c>
      <c r="D39" t="s">
        <v>68</v>
      </c>
      <c r="E39" t="s">
        <v>352</v>
      </c>
      <c r="F39">
        <v>100</v>
      </c>
      <c r="G39">
        <v>1624</v>
      </c>
      <c r="H39" t="b">
        <v>1</v>
      </c>
      <c r="I39" s="1">
        <v>45788.005057870374</v>
      </c>
      <c r="J39" t="s">
        <v>353</v>
      </c>
      <c r="O39">
        <v>53.480899999999998</v>
      </c>
      <c r="P39">
        <v>-2.2374000000000001</v>
      </c>
      <c r="Q39" t="s">
        <v>71</v>
      </c>
      <c r="R39" t="s">
        <v>72</v>
      </c>
      <c r="S39" t="s">
        <v>354</v>
      </c>
      <c r="T39" t="s">
        <v>355</v>
      </c>
      <c r="U39" t="s">
        <v>356</v>
      </c>
      <c r="V39" t="s">
        <v>76</v>
      </c>
      <c r="X39" t="s">
        <v>113</v>
      </c>
      <c r="Y39" s="2" t="s">
        <v>357</v>
      </c>
      <c r="Z39" t="s">
        <v>358</v>
      </c>
      <c r="AA39" t="s">
        <v>91</v>
      </c>
      <c r="AB39" t="s">
        <v>80</v>
      </c>
      <c r="AC39" t="s">
        <v>80</v>
      </c>
      <c r="AD39" t="s">
        <v>80</v>
      </c>
      <c r="AE39" t="s">
        <v>80</v>
      </c>
      <c r="AF39" t="s">
        <v>80</v>
      </c>
      <c r="AG39" t="s">
        <v>80</v>
      </c>
      <c r="AH39" t="s">
        <v>80</v>
      </c>
      <c r="AI39" t="s">
        <v>80</v>
      </c>
      <c r="AJ39" t="s">
        <v>80</v>
      </c>
      <c r="AK39" t="s">
        <v>80</v>
      </c>
      <c r="AL39" t="s">
        <v>80</v>
      </c>
      <c r="AM39" t="s">
        <v>80</v>
      </c>
      <c r="AN39" t="s">
        <v>80</v>
      </c>
      <c r="AO39" t="s">
        <v>80</v>
      </c>
      <c r="AP39" t="s">
        <v>77</v>
      </c>
      <c r="AR39" t="s">
        <v>359</v>
      </c>
      <c r="AS39" t="s">
        <v>79</v>
      </c>
      <c r="AT39" t="s">
        <v>79</v>
      </c>
      <c r="AU39" t="s">
        <v>79</v>
      </c>
      <c r="AV39" t="s">
        <v>79</v>
      </c>
      <c r="AW39" t="s">
        <v>79</v>
      </c>
      <c r="AX39" t="s">
        <v>79</v>
      </c>
      <c r="AY39" t="s">
        <v>79</v>
      </c>
      <c r="AZ39" t="s">
        <v>79</v>
      </c>
      <c r="BA39" t="s">
        <v>79</v>
      </c>
      <c r="BB39" t="s">
        <v>79</v>
      </c>
      <c r="BC39" t="s">
        <v>80</v>
      </c>
      <c r="BD39" t="s">
        <v>80</v>
      </c>
      <c r="BE39" t="s">
        <v>80</v>
      </c>
      <c r="BF39" t="s">
        <v>80</v>
      </c>
      <c r="BG39" t="s">
        <v>80</v>
      </c>
      <c r="BH39" t="s">
        <v>82</v>
      </c>
      <c r="BI39" t="s">
        <v>354</v>
      </c>
      <c r="BJ39">
        <f t="shared" si="12"/>
        <v>1</v>
      </c>
      <c r="BK39">
        <f>COUNTIF(AS39:BG39, "Correct") + COUNTIF(AS39:BG39, "Incorrect")</f>
        <v>10</v>
      </c>
      <c r="BL39">
        <v>1</v>
      </c>
      <c r="BM39">
        <v>10</v>
      </c>
      <c r="BN39" t="b">
        <f t="shared" si="1"/>
        <v>1</v>
      </c>
      <c r="BO39" t="b">
        <f t="shared" si="2"/>
        <v>1</v>
      </c>
      <c r="BP39" t="b">
        <f t="shared" si="3"/>
        <v>0</v>
      </c>
      <c r="BQ39" t="b">
        <v>0</v>
      </c>
      <c r="BR39">
        <f t="shared" si="4"/>
        <v>0</v>
      </c>
      <c r="BS39">
        <f t="shared" si="5"/>
        <v>1</v>
      </c>
    </row>
    <row r="40" spans="1:71" ht="20" customHeight="1" x14ac:dyDescent="0.2">
      <c r="A40" t="s">
        <v>361</v>
      </c>
      <c r="B40" s="1">
        <v>45788.003657407404</v>
      </c>
      <c r="C40" s="1">
        <v>45788.017430555556</v>
      </c>
      <c r="D40" t="s">
        <v>68</v>
      </c>
      <c r="E40" t="s">
        <v>360</v>
      </c>
      <c r="F40">
        <v>100</v>
      </c>
      <c r="G40">
        <v>1189</v>
      </c>
      <c r="H40" t="b">
        <v>1</v>
      </c>
      <c r="I40" s="1">
        <v>45788.017442129632</v>
      </c>
      <c r="J40" t="s">
        <v>361</v>
      </c>
      <c r="O40">
        <v>53.7363</v>
      </c>
      <c r="P40">
        <v>-1.4035</v>
      </c>
      <c r="Q40" t="s">
        <v>71</v>
      </c>
      <c r="R40" t="s">
        <v>72</v>
      </c>
      <c r="S40" t="s">
        <v>362</v>
      </c>
      <c r="T40" t="s">
        <v>363</v>
      </c>
      <c r="U40" t="s">
        <v>364</v>
      </c>
      <c r="V40" t="s">
        <v>76</v>
      </c>
      <c r="W40" t="s">
        <v>365</v>
      </c>
      <c r="X40" t="s">
        <v>77</v>
      </c>
      <c r="Z40" t="s">
        <v>366</v>
      </c>
      <c r="AA40" t="s">
        <v>79</v>
      </c>
      <c r="AB40" t="s">
        <v>91</v>
      </c>
      <c r="AC40" t="s">
        <v>91</v>
      </c>
      <c r="AD40" t="s">
        <v>91</v>
      </c>
      <c r="AE40" t="s">
        <v>79</v>
      </c>
      <c r="AF40" t="s">
        <v>91</v>
      </c>
      <c r="AG40" t="s">
        <v>91</v>
      </c>
      <c r="AH40" t="s">
        <v>79</v>
      </c>
      <c r="AI40" t="s">
        <v>91</v>
      </c>
      <c r="AJ40" t="s">
        <v>79</v>
      </c>
      <c r="AK40" t="s">
        <v>91</v>
      </c>
      <c r="AL40" t="s">
        <v>79</v>
      </c>
      <c r="AM40" t="s">
        <v>79</v>
      </c>
      <c r="AN40" t="s">
        <v>79</v>
      </c>
      <c r="AO40" t="s">
        <v>80</v>
      </c>
      <c r="AP40" t="s">
        <v>77</v>
      </c>
      <c r="AR40" t="s">
        <v>367</v>
      </c>
      <c r="AS40" t="s">
        <v>91</v>
      </c>
      <c r="AT40" t="s">
        <v>91</v>
      </c>
      <c r="AU40" t="s">
        <v>79</v>
      </c>
      <c r="AV40" t="s">
        <v>79</v>
      </c>
      <c r="AW40" t="s">
        <v>91</v>
      </c>
      <c r="AX40" t="s">
        <v>80</v>
      </c>
      <c r="AY40" t="s">
        <v>80</v>
      </c>
      <c r="AZ40" t="s">
        <v>80</v>
      </c>
      <c r="BA40" t="s">
        <v>80</v>
      </c>
      <c r="BB40" t="s">
        <v>80</v>
      </c>
      <c r="BC40" t="s">
        <v>80</v>
      </c>
      <c r="BD40" t="s">
        <v>80</v>
      </c>
      <c r="BE40" t="s">
        <v>80</v>
      </c>
      <c r="BF40" t="s">
        <v>80</v>
      </c>
      <c r="BG40" t="s">
        <v>80</v>
      </c>
      <c r="BH40" t="s">
        <v>92</v>
      </c>
      <c r="BI40" t="s">
        <v>362</v>
      </c>
      <c r="BJ40">
        <f t="shared" si="12"/>
        <v>14</v>
      </c>
      <c r="BK40">
        <f>COUNTIF(AS40:BG40, "Correct") + COUNTIF(AS40:BG40, "Incorrect")</f>
        <v>5</v>
      </c>
      <c r="BL40">
        <v>14</v>
      </c>
      <c r="BM40">
        <v>5</v>
      </c>
      <c r="BN40" t="b">
        <f t="shared" si="1"/>
        <v>1</v>
      </c>
      <c r="BO40" t="b">
        <f t="shared" si="2"/>
        <v>1</v>
      </c>
      <c r="BP40" t="b">
        <f t="shared" si="3"/>
        <v>0</v>
      </c>
      <c r="BQ40" t="b">
        <v>0</v>
      </c>
      <c r="BR40">
        <f t="shared" si="4"/>
        <v>0.5</v>
      </c>
      <c r="BS40">
        <f t="shared" si="5"/>
        <v>0.4</v>
      </c>
    </row>
    <row r="41" spans="1:71" ht="20" customHeight="1" x14ac:dyDescent="0.2">
      <c r="A41" t="s">
        <v>369</v>
      </c>
      <c r="B41" s="1">
        <v>45788.001574074071</v>
      </c>
      <c r="C41" s="1">
        <v>45788.027430555558</v>
      </c>
      <c r="D41" t="s">
        <v>68</v>
      </c>
      <c r="E41" t="s">
        <v>368</v>
      </c>
      <c r="F41">
        <v>100</v>
      </c>
      <c r="G41">
        <v>2234</v>
      </c>
      <c r="H41" t="b">
        <v>1</v>
      </c>
      <c r="I41" s="1">
        <v>45788.027430555558</v>
      </c>
      <c r="J41" t="s">
        <v>369</v>
      </c>
      <c r="O41">
        <v>29.003900000000002</v>
      </c>
      <c r="P41">
        <v>-82.188699999999997</v>
      </c>
      <c r="Q41" t="s">
        <v>71</v>
      </c>
      <c r="R41" t="s">
        <v>72</v>
      </c>
      <c r="S41" t="s">
        <v>370</v>
      </c>
      <c r="T41" t="s">
        <v>371</v>
      </c>
      <c r="U41" t="s">
        <v>372</v>
      </c>
      <c r="V41" t="s">
        <v>76</v>
      </c>
      <c r="X41" t="s">
        <v>77</v>
      </c>
      <c r="Z41" t="s">
        <v>373</v>
      </c>
      <c r="AA41" t="s">
        <v>79</v>
      </c>
      <c r="AB41" t="s">
        <v>91</v>
      </c>
      <c r="AC41" t="s">
        <v>91</v>
      </c>
      <c r="AD41" t="s">
        <v>91</v>
      </c>
      <c r="AE41" t="s">
        <v>91</v>
      </c>
      <c r="AF41" t="s">
        <v>91</v>
      </c>
      <c r="AG41" t="s">
        <v>79</v>
      </c>
      <c r="AH41" t="s">
        <v>79</v>
      </c>
      <c r="AI41" t="s">
        <v>79</v>
      </c>
      <c r="AJ41" t="s">
        <v>79</v>
      </c>
      <c r="AK41" t="s">
        <v>79</v>
      </c>
      <c r="AL41" t="s">
        <v>79</v>
      </c>
      <c r="AM41" t="s">
        <v>80</v>
      </c>
      <c r="AN41" t="s">
        <v>80</v>
      </c>
      <c r="AO41" t="s">
        <v>80</v>
      </c>
      <c r="AP41" t="s">
        <v>77</v>
      </c>
      <c r="AR41" t="s">
        <v>374</v>
      </c>
      <c r="AS41" t="s">
        <v>79</v>
      </c>
      <c r="AT41" t="s">
        <v>91</v>
      </c>
      <c r="AU41" t="s">
        <v>91</v>
      </c>
      <c r="AV41" t="s">
        <v>79</v>
      </c>
      <c r="AW41" t="s">
        <v>79</v>
      </c>
      <c r="AX41" t="s">
        <v>91</v>
      </c>
      <c r="AY41" t="s">
        <v>91</v>
      </c>
      <c r="AZ41" t="s">
        <v>91</v>
      </c>
      <c r="BA41" t="s">
        <v>80</v>
      </c>
      <c r="BB41" t="s">
        <v>80</v>
      </c>
      <c r="BC41" t="s">
        <v>80</v>
      </c>
      <c r="BD41" t="s">
        <v>80</v>
      </c>
      <c r="BE41" t="s">
        <v>80</v>
      </c>
      <c r="BF41" t="s">
        <v>80</v>
      </c>
      <c r="BG41" t="s">
        <v>80</v>
      </c>
      <c r="BH41" t="s">
        <v>92</v>
      </c>
      <c r="BI41" t="s">
        <v>370</v>
      </c>
      <c r="BJ41">
        <f t="shared" si="12"/>
        <v>12</v>
      </c>
      <c r="BK41">
        <f t="shared" ref="BK41:BK43" si="14">COUNTIF(AS41:BG41, "Correct") + COUNTIF(AS41:BG41, "Incorrect")</f>
        <v>8</v>
      </c>
      <c r="BL41">
        <v>12</v>
      </c>
      <c r="BM41">
        <v>8</v>
      </c>
      <c r="BN41" t="b">
        <f t="shared" si="1"/>
        <v>1</v>
      </c>
      <c r="BO41" t="b">
        <f t="shared" si="2"/>
        <v>1</v>
      </c>
      <c r="BP41" t="b">
        <f t="shared" si="3"/>
        <v>0</v>
      </c>
      <c r="BQ41" t="b">
        <v>0</v>
      </c>
      <c r="BR41">
        <f t="shared" si="4"/>
        <v>0.58333333333333337</v>
      </c>
      <c r="BS41">
        <f t="shared" si="5"/>
        <v>0.375</v>
      </c>
    </row>
    <row r="42" spans="1:71" ht="20" customHeight="1" x14ac:dyDescent="0.2">
      <c r="A42" t="s">
        <v>376</v>
      </c>
      <c r="B42" s="1">
        <v>45788.001736111109</v>
      </c>
      <c r="C42" s="1">
        <v>45788.030451388891</v>
      </c>
      <c r="D42" t="s">
        <v>68</v>
      </c>
      <c r="E42" t="s">
        <v>375</v>
      </c>
      <c r="F42">
        <v>100</v>
      </c>
      <c r="G42">
        <v>2480</v>
      </c>
      <c r="H42" t="b">
        <v>1</v>
      </c>
      <c r="I42" s="1">
        <v>45788.030451388891</v>
      </c>
      <c r="J42" t="s">
        <v>376</v>
      </c>
      <c r="O42">
        <v>33.955800000000004</v>
      </c>
      <c r="P42">
        <v>-118.38930000000001</v>
      </c>
      <c r="Q42" t="s">
        <v>71</v>
      </c>
      <c r="R42" t="s">
        <v>72</v>
      </c>
      <c r="S42" t="s">
        <v>377</v>
      </c>
      <c r="T42" t="s">
        <v>378</v>
      </c>
      <c r="U42" t="s">
        <v>379</v>
      </c>
      <c r="V42" t="s">
        <v>76</v>
      </c>
      <c r="X42" t="s">
        <v>77</v>
      </c>
      <c r="Z42" t="s">
        <v>380</v>
      </c>
      <c r="AA42" t="s">
        <v>79</v>
      </c>
      <c r="AB42" t="s">
        <v>79</v>
      </c>
      <c r="AC42" t="s">
        <v>91</v>
      </c>
      <c r="AD42" t="s">
        <v>79</v>
      </c>
      <c r="AE42" t="s">
        <v>79</v>
      </c>
      <c r="AF42" t="s">
        <v>80</v>
      </c>
      <c r="AG42" t="s">
        <v>80</v>
      </c>
      <c r="AH42" t="s">
        <v>80</v>
      </c>
      <c r="AI42" t="s">
        <v>80</v>
      </c>
      <c r="AJ42" t="s">
        <v>80</v>
      </c>
      <c r="AK42" t="s">
        <v>80</v>
      </c>
      <c r="AL42" t="s">
        <v>80</v>
      </c>
      <c r="AM42" t="s">
        <v>80</v>
      </c>
      <c r="AN42" t="s">
        <v>80</v>
      </c>
      <c r="AO42" t="s">
        <v>80</v>
      </c>
      <c r="AP42" t="s">
        <v>77</v>
      </c>
      <c r="AR42" t="s">
        <v>381</v>
      </c>
      <c r="AS42" t="s">
        <v>79</v>
      </c>
      <c r="AT42" t="s">
        <v>79</v>
      </c>
      <c r="AU42" t="s">
        <v>79</v>
      </c>
      <c r="AV42" t="s">
        <v>79</v>
      </c>
      <c r="AW42" t="s">
        <v>91</v>
      </c>
      <c r="AX42" t="s">
        <v>91</v>
      </c>
      <c r="AY42" t="s">
        <v>80</v>
      </c>
      <c r="AZ42" t="s">
        <v>80</v>
      </c>
      <c r="BA42" t="s">
        <v>80</v>
      </c>
      <c r="BB42" t="s">
        <v>80</v>
      </c>
      <c r="BC42" t="s">
        <v>80</v>
      </c>
      <c r="BD42" t="s">
        <v>80</v>
      </c>
      <c r="BE42" t="s">
        <v>80</v>
      </c>
      <c r="BF42" t="s">
        <v>80</v>
      </c>
      <c r="BG42" t="s">
        <v>80</v>
      </c>
      <c r="BH42" t="s">
        <v>92</v>
      </c>
      <c r="BI42" t="s">
        <v>377</v>
      </c>
      <c r="BJ42">
        <f t="shared" si="12"/>
        <v>5</v>
      </c>
      <c r="BK42">
        <f t="shared" si="14"/>
        <v>6</v>
      </c>
      <c r="BL42">
        <v>5</v>
      </c>
      <c r="BM42">
        <v>6</v>
      </c>
      <c r="BN42" t="b">
        <f t="shared" si="1"/>
        <v>1</v>
      </c>
      <c r="BO42" t="b">
        <f t="shared" si="2"/>
        <v>1</v>
      </c>
      <c r="BP42" t="b">
        <f t="shared" si="3"/>
        <v>0</v>
      </c>
      <c r="BQ42" t="b">
        <v>0</v>
      </c>
      <c r="BR42">
        <f t="shared" si="4"/>
        <v>0.8</v>
      </c>
      <c r="BS42">
        <f t="shared" si="5"/>
        <v>0.66666666666666663</v>
      </c>
    </row>
    <row r="43" spans="1:71" ht="20" customHeight="1" x14ac:dyDescent="0.2">
      <c r="A43" t="s">
        <v>383</v>
      </c>
      <c r="B43" s="1">
        <v>45788.010023148148</v>
      </c>
      <c r="C43" s="1">
        <v>45788.035983796297</v>
      </c>
      <c r="D43" t="s">
        <v>68</v>
      </c>
      <c r="E43" t="s">
        <v>382</v>
      </c>
      <c r="F43">
        <v>100</v>
      </c>
      <c r="G43">
        <v>2243</v>
      </c>
      <c r="H43" t="b">
        <v>1</v>
      </c>
      <c r="I43" s="1">
        <v>45788.035995370374</v>
      </c>
      <c r="J43" t="s">
        <v>383</v>
      </c>
      <c r="O43">
        <v>33.955800000000004</v>
      </c>
      <c r="P43">
        <v>-118.38930000000001</v>
      </c>
      <c r="Q43" t="s">
        <v>71</v>
      </c>
      <c r="R43" t="s">
        <v>72</v>
      </c>
      <c r="S43" t="s">
        <v>384</v>
      </c>
      <c r="T43" t="s">
        <v>385</v>
      </c>
      <c r="U43" t="s">
        <v>386</v>
      </c>
      <c r="V43" t="s">
        <v>76</v>
      </c>
      <c r="X43" t="s">
        <v>77</v>
      </c>
      <c r="Z43" t="s">
        <v>387</v>
      </c>
      <c r="AA43" t="s">
        <v>79</v>
      </c>
      <c r="AB43" t="s">
        <v>79</v>
      </c>
      <c r="AC43" t="s">
        <v>79</v>
      </c>
      <c r="AD43" t="s">
        <v>79</v>
      </c>
      <c r="AE43" t="s">
        <v>80</v>
      </c>
      <c r="AF43" t="s">
        <v>80</v>
      </c>
      <c r="AG43" t="s">
        <v>80</v>
      </c>
      <c r="AH43" t="s">
        <v>80</v>
      </c>
      <c r="AI43" t="s">
        <v>80</v>
      </c>
      <c r="AJ43" t="s">
        <v>80</v>
      </c>
      <c r="AK43" t="s">
        <v>80</v>
      </c>
      <c r="AL43" t="s">
        <v>80</v>
      </c>
      <c r="AM43" t="s">
        <v>80</v>
      </c>
      <c r="AN43" t="s">
        <v>80</v>
      </c>
      <c r="AO43" t="s">
        <v>80</v>
      </c>
      <c r="AP43" t="s">
        <v>77</v>
      </c>
      <c r="AR43" t="s">
        <v>388</v>
      </c>
      <c r="AS43" t="s">
        <v>79</v>
      </c>
      <c r="AT43" t="s">
        <v>79</v>
      </c>
      <c r="AU43" t="s">
        <v>91</v>
      </c>
      <c r="AV43" t="s">
        <v>80</v>
      </c>
      <c r="AW43" t="s">
        <v>80</v>
      </c>
      <c r="AX43" t="s">
        <v>80</v>
      </c>
      <c r="AY43" t="s">
        <v>80</v>
      </c>
      <c r="AZ43" t="s">
        <v>80</v>
      </c>
      <c r="BA43" t="s">
        <v>80</v>
      </c>
      <c r="BB43" t="s">
        <v>80</v>
      </c>
      <c r="BC43" t="s">
        <v>80</v>
      </c>
      <c r="BD43" t="s">
        <v>80</v>
      </c>
      <c r="BE43" t="s">
        <v>80</v>
      </c>
      <c r="BF43" t="s">
        <v>80</v>
      </c>
      <c r="BG43" t="s">
        <v>80</v>
      </c>
      <c r="BH43" t="s">
        <v>92</v>
      </c>
      <c r="BI43" t="s">
        <v>384</v>
      </c>
      <c r="BJ43">
        <f t="shared" si="12"/>
        <v>4</v>
      </c>
      <c r="BK43">
        <f t="shared" si="14"/>
        <v>3</v>
      </c>
      <c r="BL43">
        <v>4</v>
      </c>
      <c r="BM43">
        <v>3</v>
      </c>
      <c r="BN43" t="b">
        <f t="shared" si="1"/>
        <v>1</v>
      </c>
      <c r="BO43" t="b">
        <f t="shared" si="2"/>
        <v>1</v>
      </c>
      <c r="BP43" t="b">
        <f t="shared" si="3"/>
        <v>0</v>
      </c>
      <c r="BQ43" t="b">
        <v>0</v>
      </c>
      <c r="BR43">
        <f t="shared" si="4"/>
        <v>1</v>
      </c>
      <c r="BS43">
        <f t="shared" si="5"/>
        <v>0.66666666666666663</v>
      </c>
    </row>
    <row r="44" spans="1:71" ht="20" customHeight="1" x14ac:dyDescent="0.2">
      <c r="A44" t="s">
        <v>390</v>
      </c>
      <c r="B44" s="1">
        <v>45788.00271990741</v>
      </c>
      <c r="C44" s="1">
        <v>45788.040127314816</v>
      </c>
      <c r="D44" t="s">
        <v>68</v>
      </c>
      <c r="E44" t="s">
        <v>389</v>
      </c>
      <c r="F44">
        <v>100</v>
      </c>
      <c r="G44">
        <v>3232</v>
      </c>
      <c r="H44" t="b">
        <v>1</v>
      </c>
      <c r="I44" s="1">
        <v>45788.040138888886</v>
      </c>
      <c r="J44" t="s">
        <v>390</v>
      </c>
      <c r="O44">
        <v>34.054400000000001</v>
      </c>
      <c r="P44">
        <v>-118.244</v>
      </c>
      <c r="Q44" t="s">
        <v>71</v>
      </c>
      <c r="R44" t="s">
        <v>72</v>
      </c>
      <c r="S44" t="s">
        <v>391</v>
      </c>
      <c r="T44" t="s">
        <v>392</v>
      </c>
      <c r="U44" t="s">
        <v>393</v>
      </c>
      <c r="V44" t="s">
        <v>76</v>
      </c>
      <c r="X44" t="s">
        <v>77</v>
      </c>
      <c r="Z44" t="s">
        <v>394</v>
      </c>
      <c r="AA44" t="s">
        <v>91</v>
      </c>
      <c r="AB44" t="s">
        <v>79</v>
      </c>
      <c r="AC44" t="s">
        <v>91</v>
      </c>
      <c r="AD44" t="s">
        <v>91</v>
      </c>
      <c r="AE44" t="s">
        <v>91</v>
      </c>
      <c r="AF44" t="s">
        <v>79</v>
      </c>
      <c r="AG44" t="s">
        <v>91</v>
      </c>
      <c r="AH44" t="s">
        <v>79</v>
      </c>
      <c r="AI44" t="s">
        <v>79</v>
      </c>
      <c r="AJ44" t="s">
        <v>79</v>
      </c>
      <c r="AK44" t="s">
        <v>80</v>
      </c>
      <c r="AL44" t="s">
        <v>80</v>
      </c>
      <c r="AM44" t="s">
        <v>80</v>
      </c>
      <c r="AN44" t="s">
        <v>80</v>
      </c>
      <c r="AO44" t="s">
        <v>80</v>
      </c>
      <c r="AP44" t="s">
        <v>77</v>
      </c>
      <c r="AR44" t="s">
        <v>395</v>
      </c>
      <c r="AS44" t="s">
        <v>79</v>
      </c>
      <c r="AT44" t="s">
        <v>79</v>
      </c>
      <c r="AU44" t="s">
        <v>79</v>
      </c>
      <c r="AV44" t="s">
        <v>79</v>
      </c>
      <c r="AW44" t="s">
        <v>79</v>
      </c>
      <c r="AX44" t="s">
        <v>91</v>
      </c>
      <c r="AY44" t="s">
        <v>80</v>
      </c>
      <c r="AZ44" t="s">
        <v>80</v>
      </c>
      <c r="BA44" t="s">
        <v>80</v>
      </c>
      <c r="BB44" t="s">
        <v>80</v>
      </c>
      <c r="BC44" t="s">
        <v>80</v>
      </c>
      <c r="BD44" t="s">
        <v>80</v>
      </c>
      <c r="BE44" t="s">
        <v>80</v>
      </c>
      <c r="BF44" t="s">
        <v>80</v>
      </c>
      <c r="BG44" t="s">
        <v>80</v>
      </c>
      <c r="BH44" t="s">
        <v>92</v>
      </c>
      <c r="BI44" t="s">
        <v>391</v>
      </c>
      <c r="BJ44">
        <f t="shared" si="12"/>
        <v>10</v>
      </c>
      <c r="BK44">
        <f>COUNTIF(AS44:BG44, "Correct") + COUNTIF(AS44:BG44, "Incorrect")</f>
        <v>6</v>
      </c>
      <c r="BL44">
        <v>10</v>
      </c>
      <c r="BM44">
        <v>6</v>
      </c>
      <c r="BN44" t="b">
        <f t="shared" si="1"/>
        <v>1</v>
      </c>
      <c r="BO44" t="b">
        <f t="shared" si="2"/>
        <v>1</v>
      </c>
      <c r="BP44" t="b">
        <f t="shared" si="3"/>
        <v>0</v>
      </c>
      <c r="BQ44" t="b">
        <v>0</v>
      </c>
      <c r="BR44">
        <f t="shared" si="4"/>
        <v>0.5</v>
      </c>
      <c r="BS44">
        <f t="shared" si="5"/>
        <v>0.83333333333333337</v>
      </c>
    </row>
    <row r="45" spans="1:71" ht="20" customHeight="1" x14ac:dyDescent="0.2">
      <c r="A45" t="s">
        <v>397</v>
      </c>
      <c r="B45" s="1">
        <v>45788.030914351853</v>
      </c>
      <c r="C45" s="1">
        <v>45788.054155092592</v>
      </c>
      <c r="D45" t="s">
        <v>68</v>
      </c>
      <c r="E45" t="s">
        <v>396</v>
      </c>
      <c r="F45">
        <v>100</v>
      </c>
      <c r="G45">
        <v>2008</v>
      </c>
      <c r="H45" t="b">
        <v>1</v>
      </c>
      <c r="I45" s="1">
        <v>45788.054166666669</v>
      </c>
      <c r="J45" t="s">
        <v>397</v>
      </c>
      <c r="O45">
        <v>57.479399999999998</v>
      </c>
      <c r="P45">
        <v>-4.2306999999999997</v>
      </c>
      <c r="Q45" t="s">
        <v>71</v>
      </c>
      <c r="R45" t="s">
        <v>72</v>
      </c>
      <c r="S45" t="s">
        <v>398</v>
      </c>
      <c r="T45" t="s">
        <v>399</v>
      </c>
      <c r="U45" t="s">
        <v>400</v>
      </c>
      <c r="V45" t="s">
        <v>76</v>
      </c>
      <c r="X45" t="s">
        <v>77</v>
      </c>
      <c r="Z45" t="s">
        <v>401</v>
      </c>
      <c r="AA45" t="s">
        <v>79</v>
      </c>
      <c r="AB45" t="s">
        <v>79</v>
      </c>
      <c r="AC45" t="s">
        <v>79</v>
      </c>
      <c r="AD45" t="s">
        <v>79</v>
      </c>
      <c r="AE45" t="s">
        <v>79</v>
      </c>
      <c r="AF45" t="s">
        <v>79</v>
      </c>
      <c r="AG45" t="s">
        <v>79</v>
      </c>
      <c r="AH45" t="s">
        <v>79</v>
      </c>
      <c r="AI45" t="s">
        <v>79</v>
      </c>
      <c r="AJ45" t="s">
        <v>79</v>
      </c>
      <c r="AK45" t="s">
        <v>79</v>
      </c>
      <c r="AL45" t="s">
        <v>79</v>
      </c>
      <c r="AM45" t="s">
        <v>91</v>
      </c>
      <c r="AN45" t="s">
        <v>79</v>
      </c>
      <c r="AO45" t="s">
        <v>79</v>
      </c>
      <c r="AP45" t="s">
        <v>77</v>
      </c>
      <c r="AR45" t="s">
        <v>402</v>
      </c>
      <c r="AS45" t="s">
        <v>79</v>
      </c>
      <c r="AT45" t="s">
        <v>79</v>
      </c>
      <c r="AU45" t="s">
        <v>79</v>
      </c>
      <c r="AV45" t="s">
        <v>79</v>
      </c>
      <c r="AW45" t="s">
        <v>91</v>
      </c>
      <c r="AX45" t="s">
        <v>91</v>
      </c>
      <c r="AY45" t="s">
        <v>91</v>
      </c>
      <c r="AZ45" t="s">
        <v>80</v>
      </c>
      <c r="BA45" t="s">
        <v>80</v>
      </c>
      <c r="BB45" t="s">
        <v>80</v>
      </c>
      <c r="BC45" t="s">
        <v>80</v>
      </c>
      <c r="BD45" t="s">
        <v>80</v>
      </c>
      <c r="BE45" t="s">
        <v>80</v>
      </c>
      <c r="BF45" t="s">
        <v>80</v>
      </c>
      <c r="BG45" t="s">
        <v>80</v>
      </c>
      <c r="BH45" t="s">
        <v>92</v>
      </c>
      <c r="BI45" t="s">
        <v>398</v>
      </c>
      <c r="BJ45">
        <f t="shared" si="12"/>
        <v>15</v>
      </c>
      <c r="BK45">
        <f>COUNTIF(AS45:BG45, "Correct") + COUNTIF(AS45:BG45, "Incorrect")</f>
        <v>7</v>
      </c>
      <c r="BL45">
        <v>15</v>
      </c>
      <c r="BM45">
        <v>7</v>
      </c>
      <c r="BN45" t="b">
        <f t="shared" si="1"/>
        <v>1</v>
      </c>
      <c r="BO45" t="b">
        <f t="shared" si="2"/>
        <v>1</v>
      </c>
      <c r="BP45" t="b">
        <f t="shared" si="3"/>
        <v>0</v>
      </c>
      <c r="BQ45" t="b">
        <v>0</v>
      </c>
      <c r="BR45">
        <f t="shared" si="4"/>
        <v>0.93333333333333335</v>
      </c>
      <c r="BS45">
        <f t="shared" si="5"/>
        <v>0.5714285714285714</v>
      </c>
    </row>
    <row r="46" spans="1:71" ht="20" customHeight="1" x14ac:dyDescent="0.2">
      <c r="A46" t="s">
        <v>404</v>
      </c>
      <c r="B46" s="1">
        <v>45788.064386574071</v>
      </c>
      <c r="C46" s="1">
        <v>45788.071967592594</v>
      </c>
      <c r="D46" t="s">
        <v>68</v>
      </c>
      <c r="E46" t="s">
        <v>403</v>
      </c>
      <c r="F46">
        <v>100</v>
      </c>
      <c r="G46">
        <v>655</v>
      </c>
      <c r="H46" t="b">
        <v>1</v>
      </c>
      <c r="I46" s="1">
        <v>45788.071979166663</v>
      </c>
      <c r="J46" t="s">
        <v>404</v>
      </c>
      <c r="O46">
        <v>46.543500000000002</v>
      </c>
      <c r="P46">
        <v>-87.395399999999995</v>
      </c>
      <c r="Q46" t="s">
        <v>71</v>
      </c>
      <c r="R46" t="s">
        <v>72</v>
      </c>
      <c r="S46" t="s">
        <v>405</v>
      </c>
      <c r="T46" t="s">
        <v>406</v>
      </c>
      <c r="U46" t="s">
        <v>407</v>
      </c>
      <c r="V46" t="s">
        <v>76</v>
      </c>
      <c r="X46" t="s">
        <v>77</v>
      </c>
      <c r="Z46" t="s">
        <v>408</v>
      </c>
      <c r="AA46" t="s">
        <v>79</v>
      </c>
      <c r="AB46" t="s">
        <v>79</v>
      </c>
      <c r="AC46" t="s">
        <v>79</v>
      </c>
      <c r="AD46" t="s">
        <v>79</v>
      </c>
      <c r="AE46" t="s">
        <v>79</v>
      </c>
      <c r="AF46" t="s">
        <v>79</v>
      </c>
      <c r="AG46" t="s">
        <v>79</v>
      </c>
      <c r="AH46" t="s">
        <v>80</v>
      </c>
      <c r="AI46" t="s">
        <v>80</v>
      </c>
      <c r="AJ46" t="s">
        <v>80</v>
      </c>
      <c r="AK46" t="s">
        <v>80</v>
      </c>
      <c r="AL46" t="s">
        <v>80</v>
      </c>
      <c r="AM46" t="s">
        <v>80</v>
      </c>
      <c r="AN46" t="s">
        <v>80</v>
      </c>
      <c r="AO46" t="s">
        <v>80</v>
      </c>
      <c r="AP46" t="s">
        <v>77</v>
      </c>
      <c r="AR46" t="s">
        <v>409</v>
      </c>
      <c r="AS46" t="s">
        <v>79</v>
      </c>
      <c r="AT46" t="s">
        <v>79</v>
      </c>
      <c r="AU46" t="s">
        <v>79</v>
      </c>
      <c r="AV46" t="s">
        <v>79</v>
      </c>
      <c r="AW46" t="s">
        <v>79</v>
      </c>
      <c r="AX46" t="s">
        <v>79</v>
      </c>
      <c r="AY46" t="s">
        <v>80</v>
      </c>
      <c r="AZ46" t="s">
        <v>80</v>
      </c>
      <c r="BA46" t="s">
        <v>80</v>
      </c>
      <c r="BB46" t="s">
        <v>80</v>
      </c>
      <c r="BC46" t="s">
        <v>80</v>
      </c>
      <c r="BD46" t="s">
        <v>80</v>
      </c>
      <c r="BE46" t="s">
        <v>80</v>
      </c>
      <c r="BF46" t="s">
        <v>80</v>
      </c>
      <c r="BG46" t="s">
        <v>80</v>
      </c>
      <c r="BH46" t="s">
        <v>410</v>
      </c>
      <c r="BI46" t="s">
        <v>405</v>
      </c>
      <c r="BJ46">
        <f t="shared" si="12"/>
        <v>7</v>
      </c>
      <c r="BK46">
        <f>COUNTIF(AS46:BG46, "Correct") + COUNTIF(AS46:BG46, "Incorrect")</f>
        <v>6</v>
      </c>
      <c r="BL46">
        <v>7</v>
      </c>
      <c r="BM46">
        <v>6</v>
      </c>
      <c r="BN46" t="b">
        <f t="shared" si="1"/>
        <v>1</v>
      </c>
      <c r="BO46" t="b">
        <f t="shared" si="2"/>
        <v>1</v>
      </c>
      <c r="BP46" t="b">
        <f t="shared" si="3"/>
        <v>0</v>
      </c>
      <c r="BQ46" t="b">
        <v>0</v>
      </c>
      <c r="BR46">
        <f t="shared" si="4"/>
        <v>1</v>
      </c>
      <c r="BS46">
        <f t="shared" si="5"/>
        <v>1</v>
      </c>
    </row>
    <row r="47" spans="1:71" ht="20" customHeight="1" x14ac:dyDescent="0.2">
      <c r="A47" t="s">
        <v>411</v>
      </c>
      <c r="B47" s="1">
        <v>45788.062083333331</v>
      </c>
      <c r="C47" s="1">
        <v>45788.073437500003</v>
      </c>
      <c r="D47" t="s">
        <v>68</v>
      </c>
      <c r="E47" t="s">
        <v>396</v>
      </c>
      <c r="F47">
        <v>100</v>
      </c>
      <c r="G47">
        <v>981</v>
      </c>
      <c r="H47" t="b">
        <v>1</v>
      </c>
      <c r="I47" s="1">
        <v>45788.073449074072</v>
      </c>
      <c r="J47" t="s">
        <v>411</v>
      </c>
      <c r="O47">
        <v>57.479399999999998</v>
      </c>
      <c r="P47">
        <v>-4.2306999999999997</v>
      </c>
      <c r="Q47" t="s">
        <v>71</v>
      </c>
      <c r="R47" t="s">
        <v>72</v>
      </c>
      <c r="S47" t="s">
        <v>398</v>
      </c>
      <c r="T47" t="s">
        <v>412</v>
      </c>
      <c r="U47" t="s">
        <v>413</v>
      </c>
      <c r="V47" t="s">
        <v>76</v>
      </c>
      <c r="X47" t="s">
        <v>77</v>
      </c>
      <c r="Z47" t="s">
        <v>414</v>
      </c>
      <c r="AA47" t="s">
        <v>79</v>
      </c>
      <c r="AB47" t="s">
        <v>91</v>
      </c>
      <c r="AC47" t="s">
        <v>91</v>
      </c>
      <c r="AD47" t="s">
        <v>91</v>
      </c>
      <c r="AE47" t="s">
        <v>80</v>
      </c>
      <c r="AF47" t="s">
        <v>80</v>
      </c>
      <c r="AG47" t="s">
        <v>80</v>
      </c>
      <c r="AH47" t="s">
        <v>80</v>
      </c>
      <c r="AI47" t="s">
        <v>80</v>
      </c>
      <c r="AJ47" t="s">
        <v>80</v>
      </c>
      <c r="AK47" t="s">
        <v>80</v>
      </c>
      <c r="AL47" t="s">
        <v>80</v>
      </c>
      <c r="AM47" t="s">
        <v>80</v>
      </c>
      <c r="AN47" t="s">
        <v>80</v>
      </c>
      <c r="AO47" t="s">
        <v>80</v>
      </c>
      <c r="AP47" t="s">
        <v>77</v>
      </c>
      <c r="AR47" t="s">
        <v>415</v>
      </c>
      <c r="AS47" t="s">
        <v>79</v>
      </c>
      <c r="AT47" t="s">
        <v>79</v>
      </c>
      <c r="AU47" t="s">
        <v>79</v>
      </c>
      <c r="AV47" t="s">
        <v>79</v>
      </c>
      <c r="AW47" t="s">
        <v>79</v>
      </c>
      <c r="AX47" t="s">
        <v>79</v>
      </c>
      <c r="AY47" t="s">
        <v>79</v>
      </c>
      <c r="AZ47" t="s">
        <v>91</v>
      </c>
      <c r="BA47" t="s">
        <v>91</v>
      </c>
      <c r="BB47" t="s">
        <v>91</v>
      </c>
      <c r="BC47" t="s">
        <v>79</v>
      </c>
      <c r="BD47" t="s">
        <v>79</v>
      </c>
      <c r="BE47" t="s">
        <v>91</v>
      </c>
      <c r="BF47" t="s">
        <v>80</v>
      </c>
      <c r="BG47" t="s">
        <v>80</v>
      </c>
      <c r="BH47" t="s">
        <v>82</v>
      </c>
      <c r="BI47" t="s">
        <v>398</v>
      </c>
      <c r="BJ47">
        <f t="shared" si="12"/>
        <v>4</v>
      </c>
      <c r="BK47">
        <f>COUNTIF(AS47:BG47, "Correct") + COUNTIF(AS47:BG47, "Incorrect")</f>
        <v>13</v>
      </c>
      <c r="BL47">
        <v>4</v>
      </c>
      <c r="BM47">
        <v>13</v>
      </c>
      <c r="BN47" t="b">
        <f t="shared" si="1"/>
        <v>1</v>
      </c>
      <c r="BO47" t="b">
        <f t="shared" si="2"/>
        <v>1</v>
      </c>
      <c r="BP47" t="b">
        <f t="shared" si="3"/>
        <v>0</v>
      </c>
      <c r="BQ47" t="b">
        <v>0</v>
      </c>
      <c r="BR47">
        <f t="shared" si="4"/>
        <v>0.25</v>
      </c>
      <c r="BS47">
        <f t="shared" si="5"/>
        <v>0.69230769230769229</v>
      </c>
    </row>
    <row r="48" spans="1:71" ht="20" customHeight="1" x14ac:dyDescent="0.2">
      <c r="A48" t="s">
        <v>417</v>
      </c>
      <c r="B48" s="1">
        <v>45788.077905092592</v>
      </c>
      <c r="C48" s="1">
        <v>45788.097060185188</v>
      </c>
      <c r="D48" t="s">
        <v>68</v>
      </c>
      <c r="E48" t="s">
        <v>416</v>
      </c>
      <c r="F48">
        <v>100</v>
      </c>
      <c r="G48">
        <v>1654</v>
      </c>
      <c r="H48" t="b">
        <v>1</v>
      </c>
      <c r="I48" s="1">
        <v>45788.097060185188</v>
      </c>
      <c r="J48" t="s">
        <v>417</v>
      </c>
      <c r="O48">
        <v>52.107300000000002</v>
      </c>
      <c r="P48">
        <v>-0.46489999999999998</v>
      </c>
      <c r="Q48" t="s">
        <v>71</v>
      </c>
      <c r="R48" t="s">
        <v>72</v>
      </c>
      <c r="S48" t="s">
        <v>418</v>
      </c>
      <c r="T48" t="s">
        <v>419</v>
      </c>
      <c r="U48" t="s">
        <v>420</v>
      </c>
      <c r="V48" t="s">
        <v>76</v>
      </c>
      <c r="W48" t="s">
        <v>421</v>
      </c>
      <c r="X48" t="s">
        <v>77</v>
      </c>
      <c r="Z48" t="s">
        <v>422</v>
      </c>
      <c r="AA48" t="s">
        <v>91</v>
      </c>
      <c r="AB48" t="s">
        <v>91</v>
      </c>
      <c r="AC48" t="s">
        <v>91</v>
      </c>
      <c r="AD48" t="s">
        <v>91</v>
      </c>
      <c r="AE48" t="s">
        <v>91</v>
      </c>
      <c r="AF48" t="s">
        <v>91</v>
      </c>
      <c r="AG48" t="s">
        <v>91</v>
      </c>
      <c r="AH48" t="s">
        <v>80</v>
      </c>
      <c r="AI48" t="s">
        <v>80</v>
      </c>
      <c r="AJ48" t="s">
        <v>80</v>
      </c>
      <c r="AK48" t="s">
        <v>80</v>
      </c>
      <c r="AL48" t="s">
        <v>80</v>
      </c>
      <c r="AM48" t="s">
        <v>80</v>
      </c>
      <c r="AN48" t="s">
        <v>80</v>
      </c>
      <c r="AO48" t="s">
        <v>80</v>
      </c>
      <c r="AP48" t="s">
        <v>77</v>
      </c>
      <c r="AR48" t="s">
        <v>423</v>
      </c>
      <c r="AS48" t="s">
        <v>79</v>
      </c>
      <c r="AT48" t="s">
        <v>79</v>
      </c>
      <c r="AU48" t="s">
        <v>79</v>
      </c>
      <c r="AV48" t="s">
        <v>79</v>
      </c>
      <c r="AW48" t="s">
        <v>80</v>
      </c>
      <c r="AX48" t="s">
        <v>80</v>
      </c>
      <c r="AY48" t="s">
        <v>80</v>
      </c>
      <c r="AZ48" t="s">
        <v>80</v>
      </c>
      <c r="BA48" t="s">
        <v>80</v>
      </c>
      <c r="BB48" t="s">
        <v>80</v>
      </c>
      <c r="BC48" t="s">
        <v>80</v>
      </c>
      <c r="BD48" t="s">
        <v>80</v>
      </c>
      <c r="BE48" t="s">
        <v>80</v>
      </c>
      <c r="BF48" t="s">
        <v>80</v>
      </c>
      <c r="BG48" t="s">
        <v>80</v>
      </c>
      <c r="BH48" t="s">
        <v>82</v>
      </c>
      <c r="BI48" t="s">
        <v>418</v>
      </c>
      <c r="BJ48">
        <f t="shared" si="12"/>
        <v>7</v>
      </c>
      <c r="BK48">
        <f t="shared" ref="BK48:BK49" si="15">COUNTIF(AS48:BG48, "Correct") + COUNTIF(AS48:BG48, "Incorrect")</f>
        <v>4</v>
      </c>
      <c r="BL48">
        <v>7</v>
      </c>
      <c r="BM48">
        <v>4</v>
      </c>
      <c r="BN48" t="b">
        <f t="shared" si="1"/>
        <v>1</v>
      </c>
      <c r="BO48" t="b">
        <f t="shared" si="2"/>
        <v>1</v>
      </c>
      <c r="BP48" t="b">
        <f t="shared" si="3"/>
        <v>0</v>
      </c>
      <c r="BQ48" t="b">
        <v>0</v>
      </c>
      <c r="BR48">
        <f t="shared" si="4"/>
        <v>0</v>
      </c>
      <c r="BS48">
        <f t="shared" si="5"/>
        <v>1</v>
      </c>
    </row>
    <row r="49" spans="1:71" ht="20" customHeight="1" x14ac:dyDescent="0.2">
      <c r="A49" t="s">
        <v>425</v>
      </c>
      <c r="B49" s="1">
        <v>45788.055717592593</v>
      </c>
      <c r="C49" s="1">
        <v>45788.099224537036</v>
      </c>
      <c r="D49" t="s">
        <v>68</v>
      </c>
      <c r="E49" t="s">
        <v>424</v>
      </c>
      <c r="F49">
        <v>100</v>
      </c>
      <c r="G49">
        <v>3758</v>
      </c>
      <c r="H49" t="b">
        <v>1</v>
      </c>
      <c r="I49" s="1">
        <v>45788.099236111113</v>
      </c>
      <c r="J49" t="s">
        <v>425</v>
      </c>
      <c r="O49">
        <v>52.700400000000002</v>
      </c>
      <c r="P49">
        <v>-2.0268999999999999</v>
      </c>
      <c r="Q49" t="s">
        <v>71</v>
      </c>
      <c r="R49" t="s">
        <v>72</v>
      </c>
      <c r="S49" t="s">
        <v>426</v>
      </c>
      <c r="T49" t="s">
        <v>427</v>
      </c>
      <c r="U49" t="s">
        <v>428</v>
      </c>
      <c r="V49" t="s">
        <v>76</v>
      </c>
      <c r="X49" t="s">
        <v>77</v>
      </c>
      <c r="Z49" t="s">
        <v>429</v>
      </c>
      <c r="AA49" t="s">
        <v>197</v>
      </c>
      <c r="AB49" t="s">
        <v>91</v>
      </c>
      <c r="AC49" t="s">
        <v>91</v>
      </c>
      <c r="AD49" t="s">
        <v>80</v>
      </c>
      <c r="AE49" t="s">
        <v>80</v>
      </c>
      <c r="AF49" t="s">
        <v>80</v>
      </c>
      <c r="AG49" t="s">
        <v>80</v>
      </c>
      <c r="AH49" t="s">
        <v>80</v>
      </c>
      <c r="AI49" t="s">
        <v>80</v>
      </c>
      <c r="AJ49" t="s">
        <v>80</v>
      </c>
      <c r="AK49" t="s">
        <v>80</v>
      </c>
      <c r="AL49" t="s">
        <v>80</v>
      </c>
      <c r="AM49" t="s">
        <v>80</v>
      </c>
      <c r="AN49" t="s">
        <v>80</v>
      </c>
      <c r="AO49" t="s">
        <v>80</v>
      </c>
      <c r="AP49" t="s">
        <v>77</v>
      </c>
      <c r="AR49" t="s">
        <v>430</v>
      </c>
      <c r="AS49" t="s">
        <v>197</v>
      </c>
      <c r="AT49" t="s">
        <v>197</v>
      </c>
      <c r="AU49" t="s">
        <v>197</v>
      </c>
      <c r="AV49" t="s">
        <v>91</v>
      </c>
      <c r="AW49" t="s">
        <v>80</v>
      </c>
      <c r="AX49" t="s">
        <v>80</v>
      </c>
      <c r="AY49" t="s">
        <v>80</v>
      </c>
      <c r="AZ49" t="s">
        <v>80</v>
      </c>
      <c r="BA49" t="s">
        <v>80</v>
      </c>
      <c r="BB49" t="s">
        <v>80</v>
      </c>
      <c r="BC49" t="s">
        <v>80</v>
      </c>
      <c r="BD49" t="s">
        <v>80</v>
      </c>
      <c r="BE49" t="s">
        <v>80</v>
      </c>
      <c r="BF49" t="s">
        <v>80</v>
      </c>
      <c r="BG49" t="s">
        <v>80</v>
      </c>
      <c r="BH49" t="s">
        <v>431</v>
      </c>
      <c r="BI49" t="s">
        <v>426</v>
      </c>
      <c r="BJ49">
        <f t="shared" si="12"/>
        <v>3</v>
      </c>
      <c r="BK49">
        <f t="shared" si="15"/>
        <v>4</v>
      </c>
      <c r="BL49">
        <v>3</v>
      </c>
      <c r="BM49">
        <v>4</v>
      </c>
      <c r="BN49" t="b">
        <f t="shared" si="1"/>
        <v>1</v>
      </c>
      <c r="BO49" t="b">
        <f t="shared" si="2"/>
        <v>1</v>
      </c>
      <c r="BP49" t="b">
        <f t="shared" si="3"/>
        <v>0</v>
      </c>
      <c r="BQ49" t="b">
        <v>0</v>
      </c>
      <c r="BR49">
        <f t="shared" si="4"/>
        <v>0.33333333333333331</v>
      </c>
      <c r="BS49">
        <f t="shared" si="5"/>
        <v>0.75</v>
      </c>
    </row>
    <row r="50" spans="1:71" ht="20" customHeight="1" x14ac:dyDescent="0.2">
      <c r="A50" t="s">
        <v>433</v>
      </c>
      <c r="B50" s="1">
        <v>45788.104560185187</v>
      </c>
      <c r="C50" s="1">
        <v>45788.119120370371</v>
      </c>
      <c r="D50" t="s">
        <v>68</v>
      </c>
      <c r="E50" t="s">
        <v>432</v>
      </c>
      <c r="F50">
        <v>100</v>
      </c>
      <c r="G50">
        <v>1258</v>
      </c>
      <c r="H50" t="b">
        <v>1</v>
      </c>
      <c r="I50" s="1">
        <v>45788.119131944448</v>
      </c>
      <c r="J50" t="s">
        <v>433</v>
      </c>
      <c r="O50">
        <v>33.955800000000004</v>
      </c>
      <c r="P50">
        <v>-118.38930000000001</v>
      </c>
      <c r="Q50" t="s">
        <v>71</v>
      </c>
      <c r="R50" t="s">
        <v>72</v>
      </c>
      <c r="S50" t="s">
        <v>434</v>
      </c>
      <c r="T50" t="s">
        <v>435</v>
      </c>
      <c r="U50" t="s">
        <v>436</v>
      </c>
      <c r="V50" t="s">
        <v>76</v>
      </c>
      <c r="X50" t="s">
        <v>113</v>
      </c>
      <c r="Y50" t="s">
        <v>437</v>
      </c>
      <c r="Z50" t="s">
        <v>438</v>
      </c>
      <c r="AA50" t="s">
        <v>91</v>
      </c>
      <c r="AB50" t="s">
        <v>91</v>
      </c>
      <c r="AC50" t="s">
        <v>91</v>
      </c>
      <c r="AD50" t="s">
        <v>91</v>
      </c>
      <c r="AE50" t="s">
        <v>80</v>
      </c>
      <c r="AF50" t="s">
        <v>80</v>
      </c>
      <c r="AG50" t="s">
        <v>80</v>
      </c>
      <c r="AH50" t="s">
        <v>80</v>
      </c>
      <c r="AI50" t="s">
        <v>80</v>
      </c>
      <c r="AJ50" t="s">
        <v>80</v>
      </c>
      <c r="AK50" t="s">
        <v>80</v>
      </c>
      <c r="AL50" t="s">
        <v>80</v>
      </c>
      <c r="AM50" t="s">
        <v>80</v>
      </c>
      <c r="AN50" t="s">
        <v>80</v>
      </c>
      <c r="AO50" t="s">
        <v>80</v>
      </c>
      <c r="AP50" t="s">
        <v>77</v>
      </c>
      <c r="AR50" t="s">
        <v>439</v>
      </c>
      <c r="AS50" t="s">
        <v>79</v>
      </c>
      <c r="AT50" t="s">
        <v>197</v>
      </c>
      <c r="AU50" t="s">
        <v>197</v>
      </c>
      <c r="AV50" t="s">
        <v>197</v>
      </c>
      <c r="AW50" t="s">
        <v>197</v>
      </c>
      <c r="AX50" t="s">
        <v>79</v>
      </c>
      <c r="AY50" t="s">
        <v>79</v>
      </c>
      <c r="AZ50" t="s">
        <v>79</v>
      </c>
      <c r="BA50" t="s">
        <v>79</v>
      </c>
      <c r="BB50" t="s">
        <v>79</v>
      </c>
      <c r="BC50" t="s">
        <v>79</v>
      </c>
      <c r="BD50" t="s">
        <v>80</v>
      </c>
      <c r="BE50" t="s">
        <v>80</v>
      </c>
      <c r="BF50" t="s">
        <v>80</v>
      </c>
      <c r="BG50" t="s">
        <v>80</v>
      </c>
      <c r="BH50" t="s">
        <v>440</v>
      </c>
      <c r="BI50" t="s">
        <v>434</v>
      </c>
      <c r="BJ50">
        <f t="shared" si="12"/>
        <v>4</v>
      </c>
      <c r="BK50">
        <f>COUNTIF(AS50:BG50, "Correct") + COUNTIF(AS50:BG50, "Incorrect")</f>
        <v>11</v>
      </c>
      <c r="BL50">
        <v>4</v>
      </c>
      <c r="BM50">
        <v>11</v>
      </c>
      <c r="BN50" t="b">
        <f t="shared" si="1"/>
        <v>1</v>
      </c>
      <c r="BO50" t="b">
        <f t="shared" si="2"/>
        <v>1</v>
      </c>
      <c r="BP50" t="b">
        <f t="shared" si="3"/>
        <v>0</v>
      </c>
      <c r="BQ50" t="b">
        <v>0</v>
      </c>
      <c r="BR50">
        <f t="shared" si="4"/>
        <v>0</v>
      </c>
      <c r="BS50">
        <f t="shared" si="5"/>
        <v>1</v>
      </c>
    </row>
    <row r="51" spans="1:71" ht="20" customHeight="1" x14ac:dyDescent="0.2">
      <c r="A51" t="s">
        <v>442</v>
      </c>
      <c r="B51" s="1">
        <v>45787.969548611109</v>
      </c>
      <c r="C51" s="1">
        <v>45788.121967592589</v>
      </c>
      <c r="D51" t="s">
        <v>68</v>
      </c>
      <c r="E51" t="s">
        <v>441</v>
      </c>
      <c r="F51">
        <v>100</v>
      </c>
      <c r="G51">
        <v>13169</v>
      </c>
      <c r="H51" t="b">
        <v>1</v>
      </c>
      <c r="I51" s="1">
        <v>45788.121967592589</v>
      </c>
      <c r="J51" t="s">
        <v>442</v>
      </c>
      <c r="O51">
        <v>26.1783</v>
      </c>
      <c r="P51">
        <v>-80.273399999999995</v>
      </c>
      <c r="Q51" t="s">
        <v>71</v>
      </c>
      <c r="R51" t="s">
        <v>72</v>
      </c>
      <c r="S51" t="s">
        <v>443</v>
      </c>
      <c r="T51" t="s">
        <v>444</v>
      </c>
      <c r="U51" t="s">
        <v>445</v>
      </c>
      <c r="V51" t="s">
        <v>76</v>
      </c>
      <c r="X51" t="s">
        <v>77</v>
      </c>
      <c r="Z51" t="s">
        <v>446</v>
      </c>
      <c r="AA51" t="s">
        <v>79</v>
      </c>
      <c r="AB51" t="s">
        <v>91</v>
      </c>
      <c r="AC51" t="s">
        <v>79</v>
      </c>
      <c r="AD51" t="s">
        <v>79</v>
      </c>
      <c r="AE51" t="s">
        <v>79</v>
      </c>
      <c r="AF51" t="s">
        <v>91</v>
      </c>
      <c r="AG51" t="s">
        <v>79</v>
      </c>
      <c r="AH51" t="s">
        <v>79</v>
      </c>
      <c r="AI51" t="s">
        <v>91</v>
      </c>
      <c r="AJ51" t="s">
        <v>79</v>
      </c>
      <c r="AK51" t="s">
        <v>79</v>
      </c>
      <c r="AL51" t="s">
        <v>80</v>
      </c>
      <c r="AM51" t="s">
        <v>80</v>
      </c>
      <c r="AN51" t="s">
        <v>80</v>
      </c>
      <c r="AO51" t="s">
        <v>80</v>
      </c>
      <c r="AP51" t="s">
        <v>77</v>
      </c>
      <c r="AR51" t="s">
        <v>447</v>
      </c>
      <c r="AS51" t="s">
        <v>79</v>
      </c>
      <c r="AT51" t="s">
        <v>79</v>
      </c>
      <c r="AU51" t="s">
        <v>79</v>
      </c>
      <c r="AV51" t="s">
        <v>79</v>
      </c>
      <c r="AW51" t="s">
        <v>79</v>
      </c>
      <c r="AX51" t="s">
        <v>79</v>
      </c>
      <c r="AY51" t="s">
        <v>79</v>
      </c>
      <c r="AZ51" t="s">
        <v>91</v>
      </c>
      <c r="BA51" t="s">
        <v>79</v>
      </c>
      <c r="BB51" t="s">
        <v>79</v>
      </c>
      <c r="BC51" t="s">
        <v>91</v>
      </c>
      <c r="BD51" t="s">
        <v>91</v>
      </c>
      <c r="BE51" t="s">
        <v>80</v>
      </c>
      <c r="BF51" t="s">
        <v>80</v>
      </c>
      <c r="BG51" t="s">
        <v>80</v>
      </c>
      <c r="BH51" t="s">
        <v>92</v>
      </c>
      <c r="BI51" t="s">
        <v>443</v>
      </c>
      <c r="BJ51">
        <f t="shared" si="12"/>
        <v>11</v>
      </c>
      <c r="BK51">
        <f>COUNTIF(AS51:BG51, "Correct") + COUNTIF(AS51:BG51, "Incorrect")</f>
        <v>12</v>
      </c>
      <c r="BL51">
        <v>11</v>
      </c>
      <c r="BM51">
        <v>12</v>
      </c>
      <c r="BN51" t="b">
        <f t="shared" si="1"/>
        <v>1</v>
      </c>
      <c r="BO51" t="b">
        <f t="shared" si="2"/>
        <v>1</v>
      </c>
      <c r="BP51" t="b">
        <f t="shared" si="3"/>
        <v>0</v>
      </c>
      <c r="BQ51" t="b">
        <v>0</v>
      </c>
      <c r="BR51">
        <f t="shared" si="4"/>
        <v>0.72727272727272729</v>
      </c>
      <c r="BS51">
        <f t="shared" si="5"/>
        <v>0.75</v>
      </c>
    </row>
    <row r="52" spans="1:71" ht="20" customHeight="1" x14ac:dyDescent="0.2">
      <c r="A52" t="s">
        <v>449</v>
      </c>
      <c r="B52" s="1">
        <v>45788.105474537035</v>
      </c>
      <c r="C52" s="1">
        <v>45788.139768518522</v>
      </c>
      <c r="D52" t="s">
        <v>68</v>
      </c>
      <c r="E52" t="s">
        <v>448</v>
      </c>
      <c r="F52">
        <v>100</v>
      </c>
      <c r="G52">
        <v>2963</v>
      </c>
      <c r="H52" t="b">
        <v>1</v>
      </c>
      <c r="I52" s="1">
        <v>45788.139780092592</v>
      </c>
      <c r="J52" t="s">
        <v>449</v>
      </c>
      <c r="O52">
        <v>-27.441700000000001</v>
      </c>
      <c r="P52">
        <v>153.0197</v>
      </c>
      <c r="Q52" t="s">
        <v>71</v>
      </c>
      <c r="R52" t="s">
        <v>72</v>
      </c>
      <c r="S52" t="s">
        <v>450</v>
      </c>
      <c r="T52" t="s">
        <v>451</v>
      </c>
      <c r="U52" t="s">
        <v>452</v>
      </c>
      <c r="V52" t="s">
        <v>76</v>
      </c>
      <c r="W52" t="s">
        <v>453</v>
      </c>
      <c r="X52" t="s">
        <v>77</v>
      </c>
      <c r="Z52" t="s">
        <v>454</v>
      </c>
      <c r="AA52" t="s">
        <v>79</v>
      </c>
      <c r="AB52" t="s">
        <v>79</v>
      </c>
      <c r="AC52" t="s">
        <v>79</v>
      </c>
      <c r="AD52" t="s">
        <v>79</v>
      </c>
      <c r="AE52" t="s">
        <v>80</v>
      </c>
      <c r="AF52" t="s">
        <v>80</v>
      </c>
      <c r="AG52" t="s">
        <v>80</v>
      </c>
      <c r="AH52" t="s">
        <v>80</v>
      </c>
      <c r="AI52" t="s">
        <v>80</v>
      </c>
      <c r="AJ52" t="s">
        <v>80</v>
      </c>
      <c r="AK52" t="s">
        <v>80</v>
      </c>
      <c r="AL52" t="s">
        <v>80</v>
      </c>
      <c r="AM52" t="s">
        <v>80</v>
      </c>
      <c r="AN52" t="s">
        <v>80</v>
      </c>
      <c r="AO52" t="s">
        <v>80</v>
      </c>
      <c r="AP52" t="s">
        <v>77</v>
      </c>
      <c r="AR52" t="s">
        <v>455</v>
      </c>
      <c r="AS52" t="s">
        <v>79</v>
      </c>
      <c r="AT52" t="s">
        <v>79</v>
      </c>
      <c r="AU52" t="s">
        <v>91</v>
      </c>
      <c r="AV52" t="s">
        <v>79</v>
      </c>
      <c r="AW52" t="s">
        <v>79</v>
      </c>
      <c r="AX52" t="s">
        <v>79</v>
      </c>
      <c r="AY52" t="s">
        <v>79</v>
      </c>
      <c r="AZ52" t="s">
        <v>79</v>
      </c>
      <c r="BA52" t="s">
        <v>80</v>
      </c>
      <c r="BB52" t="s">
        <v>80</v>
      </c>
      <c r="BC52" t="s">
        <v>80</v>
      </c>
      <c r="BD52" t="s">
        <v>80</v>
      </c>
      <c r="BE52" t="s">
        <v>80</v>
      </c>
      <c r="BF52" t="s">
        <v>80</v>
      </c>
      <c r="BG52" t="s">
        <v>80</v>
      </c>
      <c r="BH52" t="s">
        <v>456</v>
      </c>
      <c r="BI52" t="s">
        <v>450</v>
      </c>
      <c r="BJ52">
        <f t="shared" si="12"/>
        <v>4</v>
      </c>
      <c r="BK52">
        <f t="shared" ref="BK52:BK54" si="16">COUNTIF(AS52:BG52, "Correct") + COUNTIF(AS52:BG52, "Incorrect")</f>
        <v>8</v>
      </c>
      <c r="BL52">
        <v>4</v>
      </c>
      <c r="BM52">
        <v>8</v>
      </c>
      <c r="BN52" t="b">
        <f t="shared" si="1"/>
        <v>1</v>
      </c>
      <c r="BO52" t="b">
        <f t="shared" si="2"/>
        <v>1</v>
      </c>
      <c r="BP52" t="b">
        <f t="shared" si="3"/>
        <v>0</v>
      </c>
      <c r="BQ52" t="b">
        <v>0</v>
      </c>
      <c r="BR52">
        <f t="shared" si="4"/>
        <v>1</v>
      </c>
      <c r="BS52">
        <f t="shared" si="5"/>
        <v>0.875</v>
      </c>
    </row>
    <row r="53" spans="1:71" ht="20" customHeight="1" x14ac:dyDescent="0.2">
      <c r="A53" t="s">
        <v>458</v>
      </c>
      <c r="B53" s="1">
        <v>45788.142685185187</v>
      </c>
      <c r="C53" s="1">
        <v>45788.155613425923</v>
      </c>
      <c r="D53" t="s">
        <v>68</v>
      </c>
      <c r="E53" t="s">
        <v>457</v>
      </c>
      <c r="F53">
        <v>100</v>
      </c>
      <c r="G53">
        <v>1116</v>
      </c>
      <c r="H53" t="b">
        <v>1</v>
      </c>
      <c r="I53" s="1">
        <v>45788.155613425923</v>
      </c>
      <c r="J53" t="s">
        <v>458</v>
      </c>
      <c r="O53">
        <v>52.604900000000001</v>
      </c>
      <c r="P53">
        <v>-1.1488</v>
      </c>
      <c r="Q53" t="s">
        <v>71</v>
      </c>
      <c r="R53" t="s">
        <v>72</v>
      </c>
      <c r="S53" t="s">
        <v>459</v>
      </c>
      <c r="T53" t="s">
        <v>460</v>
      </c>
      <c r="U53" t="s">
        <v>461</v>
      </c>
      <c r="V53" t="s">
        <v>76</v>
      </c>
      <c r="X53" t="s">
        <v>77</v>
      </c>
      <c r="Z53" t="s">
        <v>462</v>
      </c>
      <c r="AA53" t="s">
        <v>79</v>
      </c>
      <c r="AB53" t="s">
        <v>79</v>
      </c>
      <c r="AC53" t="s">
        <v>79</v>
      </c>
      <c r="AD53" t="s">
        <v>79</v>
      </c>
      <c r="AE53" t="s">
        <v>79</v>
      </c>
      <c r="AF53" t="s">
        <v>79</v>
      </c>
      <c r="AG53" t="s">
        <v>79</v>
      </c>
      <c r="AH53" t="s">
        <v>79</v>
      </c>
      <c r="AI53" t="s">
        <v>80</v>
      </c>
      <c r="AJ53" t="s">
        <v>80</v>
      </c>
      <c r="AK53" t="s">
        <v>80</v>
      </c>
      <c r="AL53" t="s">
        <v>80</v>
      </c>
      <c r="AM53" t="s">
        <v>80</v>
      </c>
      <c r="AN53" t="s">
        <v>80</v>
      </c>
      <c r="AO53" t="s">
        <v>80</v>
      </c>
      <c r="AP53" t="s">
        <v>77</v>
      </c>
      <c r="AR53" t="s">
        <v>463</v>
      </c>
      <c r="AS53" t="s">
        <v>79</v>
      </c>
      <c r="AT53" t="s">
        <v>79</v>
      </c>
      <c r="AU53" t="s">
        <v>79</v>
      </c>
      <c r="AV53" t="s">
        <v>79</v>
      </c>
      <c r="AW53" t="s">
        <v>79</v>
      </c>
      <c r="AX53" t="s">
        <v>79</v>
      </c>
      <c r="AY53" t="s">
        <v>79</v>
      </c>
      <c r="AZ53" t="s">
        <v>79</v>
      </c>
      <c r="BA53" t="s">
        <v>91</v>
      </c>
      <c r="BB53" t="s">
        <v>91</v>
      </c>
      <c r="BC53" t="s">
        <v>91</v>
      </c>
      <c r="BD53" t="s">
        <v>91</v>
      </c>
      <c r="BE53" t="s">
        <v>91</v>
      </c>
      <c r="BF53" t="s">
        <v>91</v>
      </c>
      <c r="BG53" t="s">
        <v>80</v>
      </c>
      <c r="BH53" t="s">
        <v>92</v>
      </c>
      <c r="BI53" t="s">
        <v>459</v>
      </c>
      <c r="BJ53">
        <f t="shared" si="12"/>
        <v>8</v>
      </c>
      <c r="BK53">
        <f t="shared" si="16"/>
        <v>14</v>
      </c>
      <c r="BL53">
        <v>8</v>
      </c>
      <c r="BM53">
        <v>14</v>
      </c>
      <c r="BN53" t="b">
        <f t="shared" si="1"/>
        <v>1</v>
      </c>
      <c r="BO53" t="b">
        <f t="shared" si="2"/>
        <v>1</v>
      </c>
      <c r="BP53" t="b">
        <f t="shared" si="3"/>
        <v>0</v>
      </c>
      <c r="BQ53" t="b">
        <v>0</v>
      </c>
      <c r="BR53">
        <f t="shared" si="4"/>
        <v>1</v>
      </c>
      <c r="BS53">
        <f t="shared" si="5"/>
        <v>0.5714285714285714</v>
      </c>
    </row>
    <row r="54" spans="1:71" ht="20" customHeight="1" x14ac:dyDescent="0.2">
      <c r="A54" t="s">
        <v>465</v>
      </c>
      <c r="B54" s="1">
        <v>45788.153958333336</v>
      </c>
      <c r="C54" s="1">
        <v>45788.187777777777</v>
      </c>
      <c r="D54" t="s">
        <v>68</v>
      </c>
      <c r="E54" t="s">
        <v>464</v>
      </c>
      <c r="F54">
        <v>100</v>
      </c>
      <c r="G54">
        <v>2921</v>
      </c>
      <c r="H54" t="b">
        <v>1</v>
      </c>
      <c r="I54" s="1">
        <v>45788.187777777777</v>
      </c>
      <c r="J54" t="s">
        <v>465</v>
      </c>
      <c r="O54">
        <v>39.933999999999997</v>
      </c>
      <c r="P54">
        <v>-74.891000000000005</v>
      </c>
      <c r="Q54" t="s">
        <v>71</v>
      </c>
      <c r="R54" t="s">
        <v>72</v>
      </c>
      <c r="S54" t="s">
        <v>466</v>
      </c>
      <c r="T54" t="s">
        <v>467</v>
      </c>
      <c r="U54" t="s">
        <v>468</v>
      </c>
      <c r="V54" t="s">
        <v>76</v>
      </c>
      <c r="X54" t="s">
        <v>77</v>
      </c>
      <c r="Z54" t="s">
        <v>469</v>
      </c>
      <c r="AA54" t="s">
        <v>79</v>
      </c>
      <c r="AB54" t="s">
        <v>79</v>
      </c>
      <c r="AC54" t="s">
        <v>79</v>
      </c>
      <c r="AD54" t="s">
        <v>79</v>
      </c>
      <c r="AE54" t="s">
        <v>79</v>
      </c>
      <c r="AF54" t="s">
        <v>79</v>
      </c>
      <c r="AG54" t="s">
        <v>80</v>
      </c>
      <c r="AH54" t="s">
        <v>80</v>
      </c>
      <c r="AI54" t="s">
        <v>80</v>
      </c>
      <c r="AJ54" t="s">
        <v>80</v>
      </c>
      <c r="AK54" t="s">
        <v>80</v>
      </c>
      <c r="AL54" t="s">
        <v>80</v>
      </c>
      <c r="AM54" t="s">
        <v>80</v>
      </c>
      <c r="AN54" t="s">
        <v>80</v>
      </c>
      <c r="AO54" t="s">
        <v>80</v>
      </c>
      <c r="AP54" t="s">
        <v>77</v>
      </c>
      <c r="AR54" t="s">
        <v>470</v>
      </c>
      <c r="AS54" s="2" t="s">
        <v>79</v>
      </c>
      <c r="AT54" s="2" t="s">
        <v>79</v>
      </c>
      <c r="AU54" s="2" t="s">
        <v>79</v>
      </c>
      <c r="AV54" s="2" t="s">
        <v>80</v>
      </c>
      <c r="AW54" s="2" t="s">
        <v>80</v>
      </c>
      <c r="AX54" s="2" t="s">
        <v>80</v>
      </c>
      <c r="AY54" s="2" t="s">
        <v>80</v>
      </c>
      <c r="AZ54" s="2" t="s">
        <v>80</v>
      </c>
      <c r="BA54" s="2" t="s">
        <v>80</v>
      </c>
      <c r="BB54" s="2" t="s">
        <v>80</v>
      </c>
      <c r="BC54" s="2" t="s">
        <v>80</v>
      </c>
      <c r="BD54" s="2" t="s">
        <v>80</v>
      </c>
      <c r="BE54" s="2" t="s">
        <v>80</v>
      </c>
      <c r="BF54" s="2" t="s">
        <v>80</v>
      </c>
      <c r="BG54" s="2" t="s">
        <v>80</v>
      </c>
      <c r="BH54" t="s">
        <v>82</v>
      </c>
      <c r="BI54" t="s">
        <v>466</v>
      </c>
      <c r="BJ54">
        <f t="shared" si="12"/>
        <v>6</v>
      </c>
      <c r="BK54">
        <f t="shared" si="16"/>
        <v>3</v>
      </c>
      <c r="BL54">
        <v>6</v>
      </c>
      <c r="BM54">
        <v>3</v>
      </c>
      <c r="BN54" t="b">
        <f t="shared" si="1"/>
        <v>1</v>
      </c>
      <c r="BO54" t="b">
        <f t="shared" si="2"/>
        <v>1</v>
      </c>
      <c r="BP54" t="b">
        <f t="shared" si="3"/>
        <v>0</v>
      </c>
      <c r="BQ54" t="b">
        <v>0</v>
      </c>
      <c r="BR54">
        <f t="shared" si="4"/>
        <v>1</v>
      </c>
      <c r="BS54">
        <f t="shared" si="5"/>
        <v>1</v>
      </c>
    </row>
    <row r="55" spans="1:71" ht="20" customHeight="1" x14ac:dyDescent="0.2">
      <c r="A55" t="s">
        <v>471</v>
      </c>
      <c r="B55" s="1">
        <v>45788.344756944447</v>
      </c>
      <c r="C55" s="1">
        <v>45788.352847222224</v>
      </c>
      <c r="D55" t="s">
        <v>68</v>
      </c>
      <c r="E55" t="s">
        <v>416</v>
      </c>
      <c r="F55">
        <v>100</v>
      </c>
      <c r="G55">
        <v>698</v>
      </c>
      <c r="H55" t="b">
        <v>1</v>
      </c>
      <c r="I55" s="1">
        <v>45788.352847222224</v>
      </c>
      <c r="J55" t="s">
        <v>471</v>
      </c>
      <c r="O55">
        <v>52.107300000000002</v>
      </c>
      <c r="P55">
        <v>-0.46489999999999998</v>
      </c>
      <c r="Q55" t="s">
        <v>71</v>
      </c>
      <c r="R55" t="s">
        <v>72</v>
      </c>
      <c r="S55" t="s">
        <v>418</v>
      </c>
      <c r="T55" t="s">
        <v>472</v>
      </c>
      <c r="U55" t="s">
        <v>473</v>
      </c>
      <c r="V55" t="s">
        <v>76</v>
      </c>
      <c r="X55" t="s">
        <v>77</v>
      </c>
      <c r="Z55" t="s">
        <v>474</v>
      </c>
      <c r="AA55" t="s">
        <v>91</v>
      </c>
      <c r="AB55" t="s">
        <v>80</v>
      </c>
      <c r="AC55" t="s">
        <v>80</v>
      </c>
      <c r="AD55" t="s">
        <v>80</v>
      </c>
      <c r="AE55" t="s">
        <v>80</v>
      </c>
      <c r="AF55" t="s">
        <v>80</v>
      </c>
      <c r="AG55" t="s">
        <v>80</v>
      </c>
      <c r="AH55" t="s">
        <v>80</v>
      </c>
      <c r="AI55" t="s">
        <v>80</v>
      </c>
      <c r="AJ55" t="s">
        <v>80</v>
      </c>
      <c r="AK55" t="s">
        <v>80</v>
      </c>
      <c r="AL55" t="s">
        <v>80</v>
      </c>
      <c r="AM55" t="s">
        <v>80</v>
      </c>
      <c r="AN55" t="s">
        <v>80</v>
      </c>
      <c r="AO55" t="s">
        <v>80</v>
      </c>
      <c r="AP55" t="s">
        <v>77</v>
      </c>
      <c r="AR55" t="s">
        <v>475</v>
      </c>
      <c r="AS55" t="s">
        <v>91</v>
      </c>
      <c r="AT55" t="s">
        <v>91</v>
      </c>
      <c r="AU55" t="s">
        <v>476</v>
      </c>
      <c r="AV55" t="s">
        <v>476</v>
      </c>
      <c r="AW55" t="s">
        <v>476</v>
      </c>
      <c r="AX55" t="s">
        <v>476</v>
      </c>
      <c r="AY55" t="s">
        <v>80</v>
      </c>
      <c r="AZ55" t="s">
        <v>80</v>
      </c>
      <c r="BA55" t="s">
        <v>80</v>
      </c>
      <c r="BB55" t="s">
        <v>80</v>
      </c>
      <c r="BC55" t="s">
        <v>80</v>
      </c>
      <c r="BD55" t="s">
        <v>80</v>
      </c>
      <c r="BE55" t="s">
        <v>80</v>
      </c>
      <c r="BF55" t="s">
        <v>80</v>
      </c>
      <c r="BG55" t="s">
        <v>80</v>
      </c>
      <c r="BH55" t="s">
        <v>477</v>
      </c>
      <c r="BI55" t="s">
        <v>418</v>
      </c>
      <c r="BJ55">
        <f t="shared" si="12"/>
        <v>1</v>
      </c>
      <c r="BK55">
        <f>COUNTIF(AS55:BG55, "Correct") + COUNTIF(AS55:BG55, "Incorrect")</f>
        <v>6</v>
      </c>
      <c r="BL55">
        <v>1</v>
      </c>
      <c r="BM55">
        <v>6</v>
      </c>
      <c r="BN55" t="b">
        <f t="shared" si="1"/>
        <v>1</v>
      </c>
      <c r="BO55" t="b">
        <f t="shared" si="2"/>
        <v>1</v>
      </c>
      <c r="BP55" t="b">
        <f t="shared" si="3"/>
        <v>0</v>
      </c>
      <c r="BQ55" t="b">
        <v>0</v>
      </c>
      <c r="BR55">
        <f t="shared" si="4"/>
        <v>0</v>
      </c>
      <c r="BS55">
        <f t="shared" si="5"/>
        <v>0.66666666666666663</v>
      </c>
    </row>
    <row r="56" spans="1:71" ht="20" customHeight="1" x14ac:dyDescent="0.2">
      <c r="A56" t="s">
        <v>479</v>
      </c>
      <c r="B56" s="1">
        <v>45788.349849537037</v>
      </c>
      <c r="C56" s="1">
        <v>45788.363819444443</v>
      </c>
      <c r="D56" t="s">
        <v>68</v>
      </c>
      <c r="E56" t="s">
        <v>478</v>
      </c>
      <c r="F56">
        <v>100</v>
      </c>
      <c r="G56">
        <v>1206</v>
      </c>
      <c r="H56" t="b">
        <v>1</v>
      </c>
      <c r="I56" s="1">
        <v>45788.36383101852</v>
      </c>
      <c r="J56" t="s">
        <v>479</v>
      </c>
      <c r="O56">
        <v>51.484099999999998</v>
      </c>
      <c r="P56">
        <v>-0.36080000000000001</v>
      </c>
      <c r="Q56" t="s">
        <v>71</v>
      </c>
      <c r="R56" t="s">
        <v>72</v>
      </c>
      <c r="S56" t="s">
        <v>480</v>
      </c>
      <c r="T56" t="s">
        <v>328</v>
      </c>
      <c r="U56" t="s">
        <v>481</v>
      </c>
      <c r="V56" t="s">
        <v>76</v>
      </c>
      <c r="X56" t="s">
        <v>77</v>
      </c>
      <c r="Z56" t="s">
        <v>482</v>
      </c>
      <c r="AA56" t="s">
        <v>91</v>
      </c>
      <c r="AB56" t="s">
        <v>80</v>
      </c>
      <c r="AC56" t="s">
        <v>80</v>
      </c>
      <c r="AD56" t="s">
        <v>80</v>
      </c>
      <c r="AE56" t="s">
        <v>80</v>
      </c>
      <c r="AF56" t="s">
        <v>80</v>
      </c>
      <c r="AG56" t="s">
        <v>80</v>
      </c>
      <c r="AH56" t="s">
        <v>80</v>
      </c>
      <c r="AI56" t="s">
        <v>80</v>
      </c>
      <c r="AJ56" t="s">
        <v>80</v>
      </c>
      <c r="AK56" t="s">
        <v>80</v>
      </c>
      <c r="AL56" t="s">
        <v>80</v>
      </c>
      <c r="AM56" t="s">
        <v>80</v>
      </c>
      <c r="AN56" t="s">
        <v>80</v>
      </c>
      <c r="AO56" t="s">
        <v>80</v>
      </c>
      <c r="AP56" t="s">
        <v>77</v>
      </c>
      <c r="AR56" t="s">
        <v>483</v>
      </c>
      <c r="AS56" t="s">
        <v>79</v>
      </c>
      <c r="AT56" t="s">
        <v>79</v>
      </c>
      <c r="AU56" t="s">
        <v>79</v>
      </c>
      <c r="AV56" t="s">
        <v>91</v>
      </c>
      <c r="AW56" t="s">
        <v>79</v>
      </c>
      <c r="AX56" t="s">
        <v>80</v>
      </c>
      <c r="AY56" t="s">
        <v>80</v>
      </c>
      <c r="AZ56" t="s">
        <v>80</v>
      </c>
      <c r="BA56" t="s">
        <v>80</v>
      </c>
      <c r="BB56" t="s">
        <v>80</v>
      </c>
      <c r="BC56" t="s">
        <v>80</v>
      </c>
      <c r="BD56" t="s">
        <v>80</v>
      </c>
      <c r="BE56" t="s">
        <v>80</v>
      </c>
      <c r="BF56" t="s">
        <v>80</v>
      </c>
      <c r="BG56" t="s">
        <v>80</v>
      </c>
      <c r="BH56" t="s">
        <v>82</v>
      </c>
      <c r="BI56" t="s">
        <v>480</v>
      </c>
      <c r="BJ56">
        <f t="shared" si="12"/>
        <v>1</v>
      </c>
      <c r="BK56">
        <f>COUNTIF(AS56:BG56, "Correct") + COUNTIF(AS56:BG56, "Incorrect")</f>
        <v>5</v>
      </c>
      <c r="BL56">
        <v>1</v>
      </c>
      <c r="BM56">
        <v>5</v>
      </c>
      <c r="BN56" t="b">
        <f t="shared" si="1"/>
        <v>1</v>
      </c>
      <c r="BO56" t="b">
        <f t="shared" si="2"/>
        <v>1</v>
      </c>
      <c r="BP56" t="b">
        <f t="shared" si="3"/>
        <v>0</v>
      </c>
      <c r="BQ56" t="b">
        <v>0</v>
      </c>
      <c r="BR56">
        <f t="shared" si="4"/>
        <v>0</v>
      </c>
      <c r="BS56">
        <f t="shared" si="5"/>
        <v>0.8</v>
      </c>
    </row>
    <row r="57" spans="1:71" ht="20" customHeight="1" x14ac:dyDescent="0.2">
      <c r="A57" t="s">
        <v>484</v>
      </c>
      <c r="B57" s="1">
        <v>45788.344884259262</v>
      </c>
      <c r="C57" s="1">
        <v>45788.364999999998</v>
      </c>
      <c r="D57" t="s">
        <v>68</v>
      </c>
      <c r="E57" t="s">
        <v>261</v>
      </c>
      <c r="F57">
        <v>100</v>
      </c>
      <c r="G57">
        <v>1737</v>
      </c>
      <c r="H57" t="b">
        <v>1</v>
      </c>
      <c r="I57" s="1">
        <v>45788.365011574075</v>
      </c>
      <c r="J57" t="s">
        <v>484</v>
      </c>
      <c r="O57">
        <v>37.750999999999998</v>
      </c>
      <c r="P57">
        <v>-97.822000000000003</v>
      </c>
      <c r="Q57" t="s">
        <v>71</v>
      </c>
      <c r="R57" t="s">
        <v>72</v>
      </c>
      <c r="S57" t="s">
        <v>263</v>
      </c>
      <c r="T57" t="s">
        <v>485</v>
      </c>
      <c r="U57" t="s">
        <v>486</v>
      </c>
      <c r="V57" t="s">
        <v>76</v>
      </c>
      <c r="W57" t="s">
        <v>487</v>
      </c>
      <c r="X57" t="s">
        <v>77</v>
      </c>
      <c r="Z57" t="s">
        <v>488</v>
      </c>
      <c r="AA57" t="s">
        <v>197</v>
      </c>
      <c r="AB57" t="s">
        <v>197</v>
      </c>
      <c r="AC57" t="s">
        <v>197</v>
      </c>
      <c r="AD57" t="s">
        <v>197</v>
      </c>
      <c r="AE57" t="s">
        <v>197</v>
      </c>
      <c r="AF57" t="s">
        <v>197</v>
      </c>
      <c r="AG57" t="s">
        <v>80</v>
      </c>
      <c r="AH57" t="s">
        <v>80</v>
      </c>
      <c r="AI57" t="s">
        <v>80</v>
      </c>
      <c r="AJ57" t="s">
        <v>80</v>
      </c>
      <c r="AK57" t="s">
        <v>80</v>
      </c>
      <c r="AL57" t="s">
        <v>80</v>
      </c>
      <c r="AM57" t="s">
        <v>80</v>
      </c>
      <c r="AN57" t="s">
        <v>80</v>
      </c>
      <c r="AO57" t="s">
        <v>80</v>
      </c>
      <c r="AP57" t="s">
        <v>77</v>
      </c>
      <c r="AR57" t="s">
        <v>489</v>
      </c>
      <c r="AS57" t="s">
        <v>91</v>
      </c>
      <c r="AT57" t="s">
        <v>80</v>
      </c>
      <c r="AU57" t="s">
        <v>80</v>
      </c>
      <c r="AV57" t="s">
        <v>80</v>
      </c>
      <c r="AW57" t="s">
        <v>80</v>
      </c>
      <c r="AX57" t="s">
        <v>80</v>
      </c>
      <c r="AY57" t="s">
        <v>80</v>
      </c>
      <c r="AZ57" t="s">
        <v>80</v>
      </c>
      <c r="BA57" t="s">
        <v>80</v>
      </c>
      <c r="BB57" t="s">
        <v>80</v>
      </c>
      <c r="BC57" t="s">
        <v>80</v>
      </c>
      <c r="BD57" t="s">
        <v>80</v>
      </c>
      <c r="BE57" t="s">
        <v>80</v>
      </c>
      <c r="BF57" t="s">
        <v>80</v>
      </c>
      <c r="BG57" t="s">
        <v>80</v>
      </c>
      <c r="BH57" t="s">
        <v>92</v>
      </c>
      <c r="BI57" t="s">
        <v>263</v>
      </c>
      <c r="BJ57">
        <f t="shared" si="12"/>
        <v>6</v>
      </c>
      <c r="BK57">
        <f t="shared" ref="BK57:BK59" si="17">COUNTIF(AS57:BG57, "Correct") + COUNTIF(AS57:BG57, "Incorrect")</f>
        <v>1</v>
      </c>
      <c r="BL57">
        <v>6</v>
      </c>
      <c r="BM57">
        <v>1</v>
      </c>
      <c r="BN57" t="b">
        <f t="shared" si="1"/>
        <v>1</v>
      </c>
      <c r="BO57" t="b">
        <f t="shared" si="2"/>
        <v>1</v>
      </c>
      <c r="BP57" t="b">
        <f t="shared" si="3"/>
        <v>0</v>
      </c>
      <c r="BQ57" t="b">
        <v>0</v>
      </c>
      <c r="BR57">
        <f t="shared" si="4"/>
        <v>1</v>
      </c>
      <c r="BS57">
        <f t="shared" si="5"/>
        <v>0</v>
      </c>
    </row>
    <row r="58" spans="1:71" ht="20" customHeight="1" x14ac:dyDescent="0.2">
      <c r="A58" t="s">
        <v>490</v>
      </c>
      <c r="B58" s="1">
        <v>45788.362337962964</v>
      </c>
      <c r="C58" s="1">
        <v>45788.372106481482</v>
      </c>
      <c r="D58" t="s">
        <v>68</v>
      </c>
      <c r="E58" t="s">
        <v>416</v>
      </c>
      <c r="F58">
        <v>100</v>
      </c>
      <c r="G58">
        <v>843</v>
      </c>
      <c r="H58" t="b">
        <v>1</v>
      </c>
      <c r="I58" s="1">
        <v>45788.372118055559</v>
      </c>
      <c r="J58" t="s">
        <v>490</v>
      </c>
      <c r="O58">
        <v>52.107300000000002</v>
      </c>
      <c r="P58">
        <v>-0.46489999999999998</v>
      </c>
      <c r="Q58" t="s">
        <v>71</v>
      </c>
      <c r="R58" t="s">
        <v>72</v>
      </c>
      <c r="S58" t="s">
        <v>418</v>
      </c>
      <c r="T58" t="s">
        <v>491</v>
      </c>
      <c r="U58" t="s">
        <v>492</v>
      </c>
      <c r="V58" t="s">
        <v>76</v>
      </c>
      <c r="X58" t="s">
        <v>77</v>
      </c>
      <c r="Z58" t="s">
        <v>493</v>
      </c>
      <c r="AA58" t="s">
        <v>91</v>
      </c>
      <c r="AB58" t="s">
        <v>80</v>
      </c>
      <c r="AC58" t="s">
        <v>80</v>
      </c>
      <c r="AD58" t="s">
        <v>80</v>
      </c>
      <c r="AE58" t="s">
        <v>80</v>
      </c>
      <c r="AF58" t="s">
        <v>80</v>
      </c>
      <c r="AG58" t="s">
        <v>80</v>
      </c>
      <c r="AH58" t="s">
        <v>80</v>
      </c>
      <c r="AI58" t="s">
        <v>80</v>
      </c>
      <c r="AJ58" t="s">
        <v>80</v>
      </c>
      <c r="AK58" t="s">
        <v>80</v>
      </c>
      <c r="AL58" t="s">
        <v>80</v>
      </c>
      <c r="AM58" t="s">
        <v>80</v>
      </c>
      <c r="AN58" t="s">
        <v>80</v>
      </c>
      <c r="AO58" t="s">
        <v>80</v>
      </c>
      <c r="AP58" t="s">
        <v>77</v>
      </c>
      <c r="AR58" t="s">
        <v>494</v>
      </c>
      <c r="AS58" t="s">
        <v>91</v>
      </c>
      <c r="AT58" t="s">
        <v>476</v>
      </c>
      <c r="AU58" t="s">
        <v>476</v>
      </c>
      <c r="AV58" t="s">
        <v>91</v>
      </c>
      <c r="AW58" t="s">
        <v>476</v>
      </c>
      <c r="AX58" t="s">
        <v>80</v>
      </c>
      <c r="AY58" t="s">
        <v>80</v>
      </c>
      <c r="AZ58" t="s">
        <v>80</v>
      </c>
      <c r="BA58" t="s">
        <v>80</v>
      </c>
      <c r="BB58" t="s">
        <v>80</v>
      </c>
      <c r="BC58" t="s">
        <v>80</v>
      </c>
      <c r="BD58" t="s">
        <v>80</v>
      </c>
      <c r="BE58" t="s">
        <v>80</v>
      </c>
      <c r="BF58" t="s">
        <v>80</v>
      </c>
      <c r="BG58" t="s">
        <v>80</v>
      </c>
      <c r="BH58" t="s">
        <v>495</v>
      </c>
      <c r="BI58" t="s">
        <v>418</v>
      </c>
      <c r="BJ58">
        <f t="shared" si="12"/>
        <v>1</v>
      </c>
      <c r="BK58">
        <f t="shared" si="17"/>
        <v>5</v>
      </c>
      <c r="BL58">
        <v>1</v>
      </c>
      <c r="BM58">
        <v>5</v>
      </c>
      <c r="BN58" t="b">
        <f t="shared" si="1"/>
        <v>1</v>
      </c>
      <c r="BO58" t="b">
        <f t="shared" si="2"/>
        <v>1</v>
      </c>
      <c r="BP58" t="b">
        <f t="shared" si="3"/>
        <v>0</v>
      </c>
      <c r="BQ58" t="b">
        <v>0</v>
      </c>
      <c r="BR58">
        <f t="shared" si="4"/>
        <v>0</v>
      </c>
      <c r="BS58">
        <f t="shared" si="5"/>
        <v>0.6</v>
      </c>
    </row>
    <row r="59" spans="1:71" ht="20" customHeight="1" x14ac:dyDescent="0.2">
      <c r="A59" t="s">
        <v>497</v>
      </c>
      <c r="B59" s="1">
        <v>45788.353368055556</v>
      </c>
      <c r="C59" s="1">
        <v>45788.376666666663</v>
      </c>
      <c r="D59" t="s">
        <v>68</v>
      </c>
      <c r="E59" t="s">
        <v>496</v>
      </c>
      <c r="F59">
        <v>100</v>
      </c>
      <c r="G59">
        <v>2012</v>
      </c>
      <c r="H59" t="b">
        <v>1</v>
      </c>
      <c r="I59" s="1">
        <v>45788.376666666663</v>
      </c>
      <c r="J59" t="s">
        <v>497</v>
      </c>
      <c r="O59">
        <v>37.750999999999998</v>
      </c>
      <c r="P59">
        <v>-97.822000000000003</v>
      </c>
      <c r="Q59" t="s">
        <v>71</v>
      </c>
      <c r="R59" t="s">
        <v>72</v>
      </c>
      <c r="S59" t="s">
        <v>498</v>
      </c>
      <c r="T59" t="s">
        <v>499</v>
      </c>
      <c r="U59" t="s">
        <v>500</v>
      </c>
      <c r="V59" t="s">
        <v>76</v>
      </c>
      <c r="W59" t="s">
        <v>501</v>
      </c>
      <c r="X59" t="s">
        <v>77</v>
      </c>
      <c r="Z59" t="s">
        <v>502</v>
      </c>
      <c r="AA59" t="s">
        <v>79</v>
      </c>
      <c r="AB59" t="s">
        <v>79</v>
      </c>
      <c r="AC59" t="s">
        <v>79</v>
      </c>
      <c r="AD59" t="s">
        <v>91</v>
      </c>
      <c r="AE59" t="s">
        <v>79</v>
      </c>
      <c r="AF59" t="s">
        <v>91</v>
      </c>
      <c r="AG59" t="s">
        <v>197</v>
      </c>
      <c r="AH59" t="s">
        <v>91</v>
      </c>
      <c r="AI59" t="s">
        <v>80</v>
      </c>
      <c r="AJ59" t="s">
        <v>80</v>
      </c>
      <c r="AK59" t="s">
        <v>80</v>
      </c>
      <c r="AL59" t="s">
        <v>80</v>
      </c>
      <c r="AM59" t="s">
        <v>80</v>
      </c>
      <c r="AN59" t="s">
        <v>80</v>
      </c>
      <c r="AO59" t="s">
        <v>80</v>
      </c>
      <c r="AP59" t="s">
        <v>77</v>
      </c>
      <c r="AR59" t="s">
        <v>503</v>
      </c>
      <c r="AS59" t="s">
        <v>91</v>
      </c>
      <c r="AT59" t="s">
        <v>91</v>
      </c>
      <c r="AU59" t="s">
        <v>197</v>
      </c>
      <c r="AV59" t="s">
        <v>91</v>
      </c>
      <c r="AW59" t="s">
        <v>91</v>
      </c>
      <c r="AX59" t="s">
        <v>91</v>
      </c>
      <c r="AY59" t="s">
        <v>197</v>
      </c>
      <c r="AZ59" t="s">
        <v>91</v>
      </c>
      <c r="BA59" t="s">
        <v>197</v>
      </c>
      <c r="BB59" t="s">
        <v>91</v>
      </c>
      <c r="BC59" t="s">
        <v>91</v>
      </c>
      <c r="BD59" t="s">
        <v>91</v>
      </c>
      <c r="BE59" t="s">
        <v>91</v>
      </c>
      <c r="BF59" t="s">
        <v>91</v>
      </c>
      <c r="BG59" t="s">
        <v>91</v>
      </c>
      <c r="BH59" t="s">
        <v>260</v>
      </c>
      <c r="BI59" t="s">
        <v>498</v>
      </c>
      <c r="BJ59">
        <f t="shared" si="12"/>
        <v>8</v>
      </c>
      <c r="BK59">
        <f t="shared" si="17"/>
        <v>15</v>
      </c>
      <c r="BL59">
        <v>8</v>
      </c>
      <c r="BM59">
        <v>15</v>
      </c>
      <c r="BN59" t="b">
        <f t="shared" si="1"/>
        <v>1</v>
      </c>
      <c r="BO59" t="b">
        <f t="shared" si="2"/>
        <v>1</v>
      </c>
      <c r="BP59" t="b">
        <f t="shared" si="3"/>
        <v>0</v>
      </c>
      <c r="BQ59" t="b">
        <v>0</v>
      </c>
      <c r="BR59">
        <f t="shared" si="4"/>
        <v>0.625</v>
      </c>
      <c r="BS59">
        <f t="shared" si="5"/>
        <v>0.2</v>
      </c>
    </row>
    <row r="60" spans="1:71" ht="20" customHeight="1" x14ac:dyDescent="0.2">
      <c r="A60" t="s">
        <v>504</v>
      </c>
      <c r="B60" s="1">
        <v>45788.34480324074</v>
      </c>
      <c r="C60" s="1">
        <v>45788.37703703704</v>
      </c>
      <c r="D60" t="s">
        <v>68</v>
      </c>
      <c r="E60" t="s">
        <v>268</v>
      </c>
      <c r="F60">
        <v>100</v>
      </c>
      <c r="G60">
        <v>2784</v>
      </c>
      <c r="H60" t="b">
        <v>1</v>
      </c>
      <c r="I60" s="1">
        <v>45788.37703703704</v>
      </c>
      <c r="J60" t="s">
        <v>504</v>
      </c>
      <c r="O60">
        <v>42.553800000000003</v>
      </c>
      <c r="P60">
        <v>-82.918499999999995</v>
      </c>
      <c r="Q60" t="s">
        <v>71</v>
      </c>
      <c r="R60" t="s">
        <v>72</v>
      </c>
      <c r="S60" t="s">
        <v>270</v>
      </c>
      <c r="T60" t="s">
        <v>505</v>
      </c>
      <c r="U60" t="s">
        <v>506</v>
      </c>
      <c r="V60" t="s">
        <v>76</v>
      </c>
      <c r="X60" t="s">
        <v>77</v>
      </c>
      <c r="Z60" t="s">
        <v>507</v>
      </c>
      <c r="AA60" t="s">
        <v>91</v>
      </c>
      <c r="AB60" t="s">
        <v>79</v>
      </c>
      <c r="AC60" t="s">
        <v>79</v>
      </c>
      <c r="AD60" t="s">
        <v>79</v>
      </c>
      <c r="AE60" t="s">
        <v>79</v>
      </c>
      <c r="AF60" t="s">
        <v>79</v>
      </c>
      <c r="AG60" t="s">
        <v>79</v>
      </c>
      <c r="AH60" t="s">
        <v>91</v>
      </c>
      <c r="AI60" t="s">
        <v>79</v>
      </c>
      <c r="AJ60" t="s">
        <v>79</v>
      </c>
      <c r="AK60" t="s">
        <v>79</v>
      </c>
      <c r="AL60" t="s">
        <v>79</v>
      </c>
      <c r="AM60" t="s">
        <v>79</v>
      </c>
      <c r="AN60" t="s">
        <v>79</v>
      </c>
      <c r="AO60" t="s">
        <v>91</v>
      </c>
      <c r="AP60" t="s">
        <v>77</v>
      </c>
      <c r="AR60" t="s">
        <v>508</v>
      </c>
      <c r="AS60" t="s">
        <v>91</v>
      </c>
      <c r="AT60" t="s">
        <v>79</v>
      </c>
      <c r="AU60" t="s">
        <v>91</v>
      </c>
      <c r="AV60" t="s">
        <v>79</v>
      </c>
      <c r="AW60" t="s">
        <v>79</v>
      </c>
      <c r="AX60" t="s">
        <v>91</v>
      </c>
      <c r="AY60" t="s">
        <v>79</v>
      </c>
      <c r="AZ60" t="s">
        <v>91</v>
      </c>
      <c r="BA60" t="s">
        <v>80</v>
      </c>
      <c r="BB60" t="s">
        <v>80</v>
      </c>
      <c r="BC60" t="s">
        <v>80</v>
      </c>
      <c r="BD60" t="s">
        <v>80</v>
      </c>
      <c r="BE60" t="s">
        <v>80</v>
      </c>
      <c r="BF60" t="s">
        <v>80</v>
      </c>
      <c r="BG60" t="s">
        <v>80</v>
      </c>
      <c r="BH60" t="s">
        <v>82</v>
      </c>
      <c r="BI60" t="s">
        <v>270</v>
      </c>
      <c r="BJ60">
        <f t="shared" si="12"/>
        <v>15</v>
      </c>
      <c r="BK60">
        <f>COUNTIF(AS60:BG60, "Correct") + COUNTIF(AS60:BG60, "Incorrect")</f>
        <v>8</v>
      </c>
      <c r="BL60">
        <v>15</v>
      </c>
      <c r="BM60">
        <v>8</v>
      </c>
      <c r="BN60" t="b">
        <f t="shared" si="1"/>
        <v>1</v>
      </c>
      <c r="BO60" t="b">
        <f t="shared" si="2"/>
        <v>1</v>
      </c>
      <c r="BP60" t="b">
        <f t="shared" si="3"/>
        <v>0</v>
      </c>
      <c r="BQ60" t="b">
        <v>0</v>
      </c>
      <c r="BR60">
        <f t="shared" si="4"/>
        <v>0.8</v>
      </c>
      <c r="BS60">
        <f t="shared" si="5"/>
        <v>0.5</v>
      </c>
    </row>
    <row r="61" spans="1:71" ht="20" customHeight="1" x14ac:dyDescent="0.2">
      <c r="A61" t="s">
        <v>509</v>
      </c>
      <c r="B61" s="1">
        <v>45788.389918981484</v>
      </c>
      <c r="C61" s="1">
        <v>45788.394965277781</v>
      </c>
      <c r="D61" t="s">
        <v>68</v>
      </c>
      <c r="E61" t="s">
        <v>396</v>
      </c>
      <c r="F61">
        <v>100</v>
      </c>
      <c r="G61">
        <v>436</v>
      </c>
      <c r="H61" t="b">
        <v>1</v>
      </c>
      <c r="I61" s="1">
        <v>45788.394976851851</v>
      </c>
      <c r="J61" t="s">
        <v>509</v>
      </c>
      <c r="O61">
        <v>57.479399999999998</v>
      </c>
      <c r="P61">
        <v>-4.2306999999999997</v>
      </c>
      <c r="Q61" t="s">
        <v>71</v>
      </c>
      <c r="R61" t="s">
        <v>72</v>
      </c>
      <c r="S61" t="s">
        <v>398</v>
      </c>
      <c r="T61" t="s">
        <v>510</v>
      </c>
      <c r="U61" t="s">
        <v>511</v>
      </c>
      <c r="V61" t="s">
        <v>76</v>
      </c>
      <c r="X61" t="s">
        <v>77</v>
      </c>
      <c r="Z61" t="s">
        <v>512</v>
      </c>
      <c r="AA61" t="s">
        <v>91</v>
      </c>
      <c r="AB61" t="s">
        <v>80</v>
      </c>
      <c r="AC61" t="s">
        <v>80</v>
      </c>
      <c r="AD61" t="s">
        <v>80</v>
      </c>
      <c r="AE61" t="s">
        <v>80</v>
      </c>
      <c r="AF61" t="s">
        <v>80</v>
      </c>
      <c r="AG61" t="s">
        <v>80</v>
      </c>
      <c r="AH61" t="s">
        <v>80</v>
      </c>
      <c r="AI61" t="s">
        <v>80</v>
      </c>
      <c r="AJ61" t="s">
        <v>80</v>
      </c>
      <c r="AK61" t="s">
        <v>80</v>
      </c>
      <c r="AL61" t="s">
        <v>80</v>
      </c>
      <c r="AM61" t="s">
        <v>80</v>
      </c>
      <c r="AN61" t="s">
        <v>80</v>
      </c>
      <c r="AO61" t="s">
        <v>80</v>
      </c>
      <c r="AP61" t="s">
        <v>77</v>
      </c>
      <c r="AR61" t="s">
        <v>513</v>
      </c>
      <c r="AS61" t="s">
        <v>79</v>
      </c>
      <c r="AT61" t="s">
        <v>79</v>
      </c>
      <c r="AU61" t="s">
        <v>79</v>
      </c>
      <c r="AV61" t="s">
        <v>79</v>
      </c>
      <c r="AW61" t="s">
        <v>79</v>
      </c>
      <c r="AX61" t="s">
        <v>79</v>
      </c>
      <c r="AY61" t="s">
        <v>79</v>
      </c>
      <c r="AZ61" t="s">
        <v>80</v>
      </c>
      <c r="BA61" t="s">
        <v>80</v>
      </c>
      <c r="BB61" t="s">
        <v>80</v>
      </c>
      <c r="BC61" t="s">
        <v>80</v>
      </c>
      <c r="BD61" t="s">
        <v>80</v>
      </c>
      <c r="BE61" t="s">
        <v>80</v>
      </c>
      <c r="BF61" t="s">
        <v>80</v>
      </c>
      <c r="BG61" t="s">
        <v>80</v>
      </c>
      <c r="BH61" t="s">
        <v>82</v>
      </c>
      <c r="BI61" t="s">
        <v>398</v>
      </c>
      <c r="BJ61">
        <f t="shared" si="12"/>
        <v>1</v>
      </c>
      <c r="BK61">
        <f>COUNTIF(AS61:BG61, "Correct") + COUNTIF(AS61:BG61, "Incorrect")</f>
        <v>7</v>
      </c>
      <c r="BL61">
        <v>1</v>
      </c>
      <c r="BM61">
        <v>7</v>
      </c>
      <c r="BN61" t="b">
        <f t="shared" si="1"/>
        <v>1</v>
      </c>
      <c r="BO61" t="b">
        <f t="shared" si="2"/>
        <v>1</v>
      </c>
      <c r="BP61" t="b">
        <f t="shared" si="3"/>
        <v>0</v>
      </c>
      <c r="BQ61" t="b">
        <v>0</v>
      </c>
      <c r="BR61">
        <f t="shared" si="4"/>
        <v>0</v>
      </c>
      <c r="BS61">
        <f t="shared" si="5"/>
        <v>1</v>
      </c>
    </row>
    <row r="62" spans="1:71" ht="20" customHeight="1" x14ac:dyDescent="0.2">
      <c r="A62" t="s">
        <v>514</v>
      </c>
      <c r="B62" s="1">
        <v>45788.440949074073</v>
      </c>
      <c r="C62" s="1">
        <v>45788.449189814812</v>
      </c>
      <c r="D62" t="s">
        <v>68</v>
      </c>
      <c r="E62" t="s">
        <v>396</v>
      </c>
      <c r="F62">
        <v>100</v>
      </c>
      <c r="G62">
        <v>712</v>
      </c>
      <c r="H62" t="b">
        <v>1</v>
      </c>
      <c r="I62" s="1">
        <v>45788.449189814812</v>
      </c>
      <c r="J62" t="s">
        <v>514</v>
      </c>
      <c r="O62">
        <v>57.479399999999998</v>
      </c>
      <c r="P62">
        <v>-4.2306999999999997</v>
      </c>
      <c r="Q62" t="s">
        <v>71</v>
      </c>
      <c r="R62" t="s">
        <v>72</v>
      </c>
      <c r="S62" t="s">
        <v>398</v>
      </c>
      <c r="T62" t="s">
        <v>515</v>
      </c>
      <c r="U62" t="s">
        <v>516</v>
      </c>
      <c r="V62" t="s">
        <v>76</v>
      </c>
      <c r="X62" t="s">
        <v>77</v>
      </c>
      <c r="Z62" t="s">
        <v>517</v>
      </c>
      <c r="AA62" t="s">
        <v>79</v>
      </c>
      <c r="AB62" t="s">
        <v>91</v>
      </c>
      <c r="AC62" t="s">
        <v>91</v>
      </c>
      <c r="AD62" t="s">
        <v>91</v>
      </c>
      <c r="AE62" t="s">
        <v>91</v>
      </c>
      <c r="AF62" t="s">
        <v>91</v>
      </c>
      <c r="AG62" t="s">
        <v>91</v>
      </c>
      <c r="AH62" t="s">
        <v>79</v>
      </c>
      <c r="AI62" t="s">
        <v>79</v>
      </c>
      <c r="AJ62" t="s">
        <v>79</v>
      </c>
      <c r="AK62" t="s">
        <v>79</v>
      </c>
      <c r="AL62" t="s">
        <v>79</v>
      </c>
      <c r="AM62" t="s">
        <v>79</v>
      </c>
      <c r="AN62" t="s">
        <v>80</v>
      </c>
      <c r="AO62" t="s">
        <v>80</v>
      </c>
      <c r="AP62" t="s">
        <v>77</v>
      </c>
      <c r="AR62" t="s">
        <v>518</v>
      </c>
      <c r="AS62" t="s">
        <v>91</v>
      </c>
      <c r="AT62" t="s">
        <v>80</v>
      </c>
      <c r="AU62" t="s">
        <v>80</v>
      </c>
      <c r="AV62" t="s">
        <v>80</v>
      </c>
      <c r="AW62" t="s">
        <v>80</v>
      </c>
      <c r="AX62" t="s">
        <v>80</v>
      </c>
      <c r="AY62" t="s">
        <v>80</v>
      </c>
      <c r="AZ62" t="s">
        <v>80</v>
      </c>
      <c r="BA62" t="s">
        <v>80</v>
      </c>
      <c r="BB62" t="s">
        <v>80</v>
      </c>
      <c r="BC62" t="s">
        <v>80</v>
      </c>
      <c r="BD62" t="s">
        <v>80</v>
      </c>
      <c r="BE62" t="s">
        <v>80</v>
      </c>
      <c r="BF62" t="s">
        <v>80</v>
      </c>
      <c r="BG62" t="s">
        <v>80</v>
      </c>
      <c r="BH62" t="s">
        <v>92</v>
      </c>
      <c r="BI62" t="s">
        <v>398</v>
      </c>
      <c r="BJ62">
        <f t="shared" si="12"/>
        <v>13</v>
      </c>
      <c r="BK62">
        <f>COUNTIF(AS62:BG62, "Correct") + COUNTIF(AS62:BG62, "Incorrect")</f>
        <v>1</v>
      </c>
      <c r="BL62">
        <v>13</v>
      </c>
      <c r="BM62">
        <v>1</v>
      </c>
      <c r="BN62" t="b">
        <f t="shared" si="1"/>
        <v>1</v>
      </c>
      <c r="BO62" t="b">
        <f t="shared" si="2"/>
        <v>1</v>
      </c>
      <c r="BP62" t="b">
        <f t="shared" si="3"/>
        <v>0</v>
      </c>
      <c r="BQ62" t="b">
        <v>0</v>
      </c>
      <c r="BR62">
        <f t="shared" si="4"/>
        <v>0.53846153846153844</v>
      </c>
      <c r="BS62">
        <f t="shared" si="5"/>
        <v>0</v>
      </c>
    </row>
    <row r="63" spans="1:71" ht="20" customHeight="1" x14ac:dyDescent="0.2">
      <c r="A63" t="s">
        <v>520</v>
      </c>
      <c r="B63" s="1">
        <v>45788.4375462963</v>
      </c>
      <c r="C63" s="1">
        <v>45788.449328703704</v>
      </c>
      <c r="D63" t="s">
        <v>68</v>
      </c>
      <c r="E63" t="s">
        <v>519</v>
      </c>
      <c r="F63">
        <v>100</v>
      </c>
      <c r="G63">
        <v>1017</v>
      </c>
      <c r="H63" t="b">
        <v>1</v>
      </c>
      <c r="I63" s="1">
        <v>45788.449328703704</v>
      </c>
      <c r="J63" t="s">
        <v>520</v>
      </c>
      <c r="O63">
        <v>53.812899999999999</v>
      </c>
      <c r="P63">
        <v>-1.7907999999999999</v>
      </c>
      <c r="Q63" t="s">
        <v>71</v>
      </c>
      <c r="R63" t="s">
        <v>72</v>
      </c>
      <c r="S63" t="s">
        <v>521</v>
      </c>
      <c r="T63" t="s">
        <v>522</v>
      </c>
      <c r="U63" t="s">
        <v>523</v>
      </c>
      <c r="V63" t="s">
        <v>76</v>
      </c>
      <c r="W63" t="s">
        <v>524</v>
      </c>
      <c r="X63" t="s">
        <v>77</v>
      </c>
      <c r="Z63" t="s">
        <v>525</v>
      </c>
      <c r="AA63" t="s">
        <v>79</v>
      </c>
      <c r="AB63" t="s">
        <v>79</v>
      </c>
      <c r="AC63" t="s">
        <v>79</v>
      </c>
      <c r="AD63" t="s">
        <v>79</v>
      </c>
      <c r="AE63" t="s">
        <v>79</v>
      </c>
      <c r="AF63" t="s">
        <v>79</v>
      </c>
      <c r="AG63" t="s">
        <v>79</v>
      </c>
      <c r="AH63" t="s">
        <v>79</v>
      </c>
      <c r="AI63" t="s">
        <v>80</v>
      </c>
      <c r="AJ63" t="s">
        <v>80</v>
      </c>
      <c r="AK63" t="s">
        <v>80</v>
      </c>
      <c r="AL63" t="s">
        <v>80</v>
      </c>
      <c r="AM63" t="s">
        <v>80</v>
      </c>
      <c r="AN63" t="s">
        <v>80</v>
      </c>
      <c r="AO63" t="s">
        <v>80</v>
      </c>
      <c r="AP63" t="s">
        <v>77</v>
      </c>
      <c r="AR63" t="s">
        <v>526</v>
      </c>
      <c r="AS63" t="s">
        <v>91</v>
      </c>
      <c r="AT63" t="s">
        <v>80</v>
      </c>
      <c r="AU63" t="s">
        <v>80</v>
      </c>
      <c r="AV63" t="s">
        <v>80</v>
      </c>
      <c r="AW63" t="s">
        <v>80</v>
      </c>
      <c r="AX63" t="s">
        <v>80</v>
      </c>
      <c r="AY63" t="s">
        <v>80</v>
      </c>
      <c r="AZ63" t="s">
        <v>80</v>
      </c>
      <c r="BA63" t="s">
        <v>80</v>
      </c>
      <c r="BB63" t="s">
        <v>80</v>
      </c>
      <c r="BC63" t="s">
        <v>80</v>
      </c>
      <c r="BD63" t="s">
        <v>80</v>
      </c>
      <c r="BE63" t="s">
        <v>80</v>
      </c>
      <c r="BF63" t="s">
        <v>80</v>
      </c>
      <c r="BG63" t="s">
        <v>80</v>
      </c>
      <c r="BH63" t="s">
        <v>527</v>
      </c>
      <c r="BI63" t="s">
        <v>521</v>
      </c>
      <c r="BJ63">
        <f t="shared" si="12"/>
        <v>8</v>
      </c>
      <c r="BK63">
        <f>COUNTIF(AS63:BG63, "Correct") + COUNTIF(AS63:BG63, "Incorrect")</f>
        <v>1</v>
      </c>
      <c r="BL63">
        <v>8</v>
      </c>
      <c r="BM63">
        <v>1</v>
      </c>
      <c r="BN63" t="b">
        <f t="shared" si="1"/>
        <v>1</v>
      </c>
      <c r="BO63" t="b">
        <f t="shared" si="2"/>
        <v>1</v>
      </c>
      <c r="BP63" t="b">
        <f t="shared" si="3"/>
        <v>0</v>
      </c>
      <c r="BQ63" t="b">
        <v>0</v>
      </c>
      <c r="BR63">
        <f t="shared" si="4"/>
        <v>1</v>
      </c>
      <c r="BS63">
        <f t="shared" si="5"/>
        <v>0</v>
      </c>
    </row>
    <row r="64" spans="1:71" ht="20" customHeight="1" x14ac:dyDescent="0.2">
      <c r="A64" t="s">
        <v>529</v>
      </c>
      <c r="B64" s="1">
        <v>45788.435601851852</v>
      </c>
      <c r="C64" s="1">
        <v>45788.455462962964</v>
      </c>
      <c r="D64" t="s">
        <v>68</v>
      </c>
      <c r="E64" t="s">
        <v>528</v>
      </c>
      <c r="F64">
        <v>100</v>
      </c>
      <c r="G64">
        <v>1715</v>
      </c>
      <c r="H64" t="b">
        <v>1</v>
      </c>
      <c r="I64" s="1">
        <v>45788.455462962964</v>
      </c>
      <c r="J64" t="s">
        <v>529</v>
      </c>
      <c r="O64">
        <v>37.527999999999999</v>
      </c>
      <c r="P64">
        <v>-77.437399999999997</v>
      </c>
      <c r="Q64" t="s">
        <v>71</v>
      </c>
      <c r="R64" t="s">
        <v>72</v>
      </c>
      <c r="S64" t="s">
        <v>530</v>
      </c>
      <c r="T64" t="s">
        <v>531</v>
      </c>
      <c r="U64" t="s">
        <v>532</v>
      </c>
      <c r="V64" t="s">
        <v>76</v>
      </c>
      <c r="X64" t="s">
        <v>77</v>
      </c>
      <c r="Z64" t="s">
        <v>533</v>
      </c>
      <c r="AA64" t="s">
        <v>79</v>
      </c>
      <c r="AB64" t="s">
        <v>79</v>
      </c>
      <c r="AC64" t="s">
        <v>91</v>
      </c>
      <c r="AD64" t="s">
        <v>91</v>
      </c>
      <c r="AE64" t="s">
        <v>80</v>
      </c>
      <c r="AF64" t="s">
        <v>80</v>
      </c>
      <c r="AG64" t="s">
        <v>80</v>
      </c>
      <c r="AH64" t="s">
        <v>80</v>
      </c>
      <c r="AI64" t="s">
        <v>80</v>
      </c>
      <c r="AJ64" t="s">
        <v>80</v>
      </c>
      <c r="AK64" t="s">
        <v>80</v>
      </c>
      <c r="AL64" t="s">
        <v>80</v>
      </c>
      <c r="AM64" t="s">
        <v>80</v>
      </c>
      <c r="AN64" t="s">
        <v>80</v>
      </c>
      <c r="AO64" t="s">
        <v>80</v>
      </c>
      <c r="AP64" t="s">
        <v>77</v>
      </c>
      <c r="AR64" t="s">
        <v>534</v>
      </c>
      <c r="AS64" t="s">
        <v>79</v>
      </c>
      <c r="AT64" t="s">
        <v>79</v>
      </c>
      <c r="AU64" t="s">
        <v>79</v>
      </c>
      <c r="AV64" t="s">
        <v>79</v>
      </c>
      <c r="AW64" t="s">
        <v>79</v>
      </c>
      <c r="AX64" t="s">
        <v>80</v>
      </c>
      <c r="AY64" t="s">
        <v>80</v>
      </c>
      <c r="AZ64" t="s">
        <v>80</v>
      </c>
      <c r="BA64" t="s">
        <v>80</v>
      </c>
      <c r="BB64" t="s">
        <v>80</v>
      </c>
      <c r="BC64" t="s">
        <v>80</v>
      </c>
      <c r="BD64" t="s">
        <v>80</v>
      </c>
      <c r="BE64" t="s">
        <v>80</v>
      </c>
      <c r="BF64" t="s">
        <v>80</v>
      </c>
      <c r="BG64" t="s">
        <v>80</v>
      </c>
      <c r="BH64" t="s">
        <v>82</v>
      </c>
      <c r="BI64" t="s">
        <v>530</v>
      </c>
      <c r="BJ64">
        <f t="shared" si="12"/>
        <v>4</v>
      </c>
      <c r="BK64">
        <f t="shared" ref="BK64:BK66" si="18">COUNTIF(AS64:BG64, "Correct") + COUNTIF(AS64:BG64, "Incorrect")</f>
        <v>5</v>
      </c>
      <c r="BL64">
        <v>4</v>
      </c>
      <c r="BM64">
        <v>5</v>
      </c>
      <c r="BN64" t="b">
        <f t="shared" si="1"/>
        <v>1</v>
      </c>
      <c r="BO64" t="b">
        <f t="shared" si="2"/>
        <v>1</v>
      </c>
      <c r="BP64" t="b">
        <f t="shared" si="3"/>
        <v>0</v>
      </c>
      <c r="BQ64" t="b">
        <v>0</v>
      </c>
      <c r="BR64">
        <f t="shared" si="4"/>
        <v>0.5</v>
      </c>
      <c r="BS64">
        <f t="shared" si="5"/>
        <v>1</v>
      </c>
    </row>
    <row r="65" spans="1:71" ht="20" customHeight="1" x14ac:dyDescent="0.2">
      <c r="A65" t="s">
        <v>535</v>
      </c>
      <c r="B65" s="1">
        <v>45788.461412037039</v>
      </c>
      <c r="C65" s="1">
        <v>45788.477002314816</v>
      </c>
      <c r="D65" t="s">
        <v>68</v>
      </c>
      <c r="E65" t="s">
        <v>183</v>
      </c>
      <c r="F65">
        <v>100</v>
      </c>
      <c r="G65">
        <v>1346</v>
      </c>
      <c r="H65" t="b">
        <v>1</v>
      </c>
      <c r="I65" s="1">
        <v>45788.477002314816</v>
      </c>
      <c r="J65" t="s">
        <v>535</v>
      </c>
      <c r="O65">
        <v>53.650300000000001</v>
      </c>
      <c r="P65">
        <v>-3.0108000000000001</v>
      </c>
      <c r="Q65" t="s">
        <v>71</v>
      </c>
      <c r="R65" t="s">
        <v>72</v>
      </c>
      <c r="S65" t="s">
        <v>185</v>
      </c>
      <c r="T65" t="s">
        <v>536</v>
      </c>
      <c r="U65" t="s">
        <v>537</v>
      </c>
      <c r="V65" t="s">
        <v>76</v>
      </c>
      <c r="X65" t="s">
        <v>77</v>
      </c>
      <c r="Z65" t="s">
        <v>538</v>
      </c>
      <c r="AA65" t="s">
        <v>79</v>
      </c>
      <c r="AB65" t="s">
        <v>79</v>
      </c>
      <c r="AC65" t="s">
        <v>79</v>
      </c>
      <c r="AD65" t="s">
        <v>91</v>
      </c>
      <c r="AE65" t="s">
        <v>80</v>
      </c>
      <c r="AF65" t="s">
        <v>80</v>
      </c>
      <c r="AG65" t="s">
        <v>80</v>
      </c>
      <c r="AH65" t="s">
        <v>80</v>
      </c>
      <c r="AI65" t="s">
        <v>80</v>
      </c>
      <c r="AJ65" t="s">
        <v>80</v>
      </c>
      <c r="AK65" t="s">
        <v>80</v>
      </c>
      <c r="AL65" t="s">
        <v>80</v>
      </c>
      <c r="AM65" t="s">
        <v>80</v>
      </c>
      <c r="AN65" t="s">
        <v>80</v>
      </c>
      <c r="AO65" t="s">
        <v>80</v>
      </c>
      <c r="AP65" t="s">
        <v>77</v>
      </c>
      <c r="AR65" t="s">
        <v>539</v>
      </c>
      <c r="AS65" t="s">
        <v>79</v>
      </c>
      <c r="AT65" t="s">
        <v>79</v>
      </c>
      <c r="AU65" t="s">
        <v>79</v>
      </c>
      <c r="AV65" t="s">
        <v>79</v>
      </c>
      <c r="AW65" t="s">
        <v>79</v>
      </c>
      <c r="AX65" t="s">
        <v>79</v>
      </c>
      <c r="AY65" t="s">
        <v>91</v>
      </c>
      <c r="AZ65" t="s">
        <v>80</v>
      </c>
      <c r="BA65" t="s">
        <v>80</v>
      </c>
      <c r="BB65" t="s">
        <v>80</v>
      </c>
      <c r="BC65" t="s">
        <v>80</v>
      </c>
      <c r="BD65" t="s">
        <v>80</v>
      </c>
      <c r="BE65" t="s">
        <v>80</v>
      </c>
      <c r="BF65" t="s">
        <v>80</v>
      </c>
      <c r="BG65" t="s">
        <v>80</v>
      </c>
      <c r="BH65" t="s">
        <v>82</v>
      </c>
      <c r="BI65" t="s">
        <v>185</v>
      </c>
      <c r="BJ65">
        <f t="shared" si="12"/>
        <v>4</v>
      </c>
      <c r="BK65">
        <f t="shared" si="18"/>
        <v>7</v>
      </c>
      <c r="BL65">
        <v>4</v>
      </c>
      <c r="BM65">
        <v>7</v>
      </c>
      <c r="BN65" t="b">
        <f t="shared" si="1"/>
        <v>1</v>
      </c>
      <c r="BO65" t="b">
        <f t="shared" si="2"/>
        <v>1</v>
      </c>
      <c r="BP65" t="b">
        <f t="shared" si="3"/>
        <v>0</v>
      </c>
      <c r="BQ65" t="b">
        <v>0</v>
      </c>
      <c r="BR65">
        <f t="shared" si="4"/>
        <v>0.75</v>
      </c>
      <c r="BS65">
        <f t="shared" si="5"/>
        <v>0.8571428571428571</v>
      </c>
    </row>
    <row r="66" spans="1:71" ht="20" customHeight="1" x14ac:dyDescent="0.2">
      <c r="A66" t="s">
        <v>541</v>
      </c>
      <c r="B66" s="1">
        <v>45788.4765625</v>
      </c>
      <c r="C66" s="1">
        <v>45788.502418981479</v>
      </c>
      <c r="D66" t="s">
        <v>68</v>
      </c>
      <c r="E66" t="s">
        <v>540</v>
      </c>
      <c r="F66">
        <v>100</v>
      </c>
      <c r="G66">
        <v>2234</v>
      </c>
      <c r="H66" t="b">
        <v>1</v>
      </c>
      <c r="I66" s="1">
        <v>45788.502430555556</v>
      </c>
      <c r="J66" t="s">
        <v>541</v>
      </c>
      <c r="O66">
        <v>25.956199999999999</v>
      </c>
      <c r="P66">
        <v>-80.1828</v>
      </c>
      <c r="Q66" t="s">
        <v>71</v>
      </c>
      <c r="R66" t="s">
        <v>72</v>
      </c>
      <c r="S66" t="s">
        <v>542</v>
      </c>
      <c r="T66" t="s">
        <v>543</v>
      </c>
      <c r="U66" t="s">
        <v>544</v>
      </c>
      <c r="V66" t="s">
        <v>76</v>
      </c>
      <c r="X66" t="s">
        <v>77</v>
      </c>
      <c r="Z66" t="s">
        <v>545</v>
      </c>
      <c r="AA66" t="s">
        <v>91</v>
      </c>
      <c r="AB66" t="s">
        <v>79</v>
      </c>
      <c r="AC66" t="s">
        <v>91</v>
      </c>
      <c r="AD66" t="s">
        <v>80</v>
      </c>
      <c r="AE66" t="s">
        <v>80</v>
      </c>
      <c r="AF66" t="s">
        <v>80</v>
      </c>
      <c r="AG66" t="s">
        <v>80</v>
      </c>
      <c r="AH66" t="s">
        <v>80</v>
      </c>
      <c r="AI66" t="s">
        <v>80</v>
      </c>
      <c r="AJ66" t="s">
        <v>80</v>
      </c>
      <c r="AK66" t="s">
        <v>80</v>
      </c>
      <c r="AL66" t="s">
        <v>80</v>
      </c>
      <c r="AM66" t="s">
        <v>80</v>
      </c>
      <c r="AN66" t="s">
        <v>80</v>
      </c>
      <c r="AO66" t="s">
        <v>80</v>
      </c>
      <c r="AP66" t="s">
        <v>77</v>
      </c>
      <c r="AR66" t="s">
        <v>546</v>
      </c>
      <c r="AS66" t="s">
        <v>197</v>
      </c>
      <c r="AT66" t="s">
        <v>197</v>
      </c>
      <c r="AU66" t="s">
        <v>197</v>
      </c>
      <c r="AV66" t="s">
        <v>197</v>
      </c>
      <c r="AW66" t="s">
        <v>197</v>
      </c>
      <c r="AX66" t="s">
        <v>80</v>
      </c>
      <c r="AY66" t="s">
        <v>80</v>
      </c>
      <c r="AZ66" t="s">
        <v>80</v>
      </c>
      <c r="BA66" t="s">
        <v>80</v>
      </c>
      <c r="BB66" t="s">
        <v>80</v>
      </c>
      <c r="BC66" t="s">
        <v>80</v>
      </c>
      <c r="BD66" t="s">
        <v>80</v>
      </c>
      <c r="BE66" t="s">
        <v>80</v>
      </c>
      <c r="BF66" t="s">
        <v>80</v>
      </c>
      <c r="BG66" t="s">
        <v>80</v>
      </c>
      <c r="BH66" t="s">
        <v>82</v>
      </c>
      <c r="BI66" t="s">
        <v>542</v>
      </c>
      <c r="BJ66">
        <f t="shared" ref="BJ66:BJ88" si="19">COUNTIF(AA66:AO66, "Correct") + COUNTIF(AA66:AO66, "Incorrect")</f>
        <v>3</v>
      </c>
      <c r="BK66">
        <f t="shared" si="18"/>
        <v>5</v>
      </c>
      <c r="BL66">
        <v>3</v>
      </c>
      <c r="BM66">
        <v>5</v>
      </c>
      <c r="BN66" t="b">
        <f t="shared" si="1"/>
        <v>1</v>
      </c>
      <c r="BO66" t="b">
        <f t="shared" si="2"/>
        <v>1</v>
      </c>
      <c r="BP66" t="b">
        <f t="shared" si="3"/>
        <v>0</v>
      </c>
      <c r="BQ66" t="b">
        <v>0</v>
      </c>
      <c r="BR66">
        <f t="shared" si="4"/>
        <v>0.33333333333333331</v>
      </c>
      <c r="BS66">
        <f t="shared" si="5"/>
        <v>1</v>
      </c>
    </row>
    <row r="67" spans="1:71" ht="20" customHeight="1" x14ac:dyDescent="0.2">
      <c r="A67" t="s">
        <v>548</v>
      </c>
      <c r="B67" s="1">
        <v>45788.489398148151</v>
      </c>
      <c r="C67" s="1">
        <v>45788.502523148149</v>
      </c>
      <c r="D67" t="s">
        <v>68</v>
      </c>
      <c r="E67" t="s">
        <v>547</v>
      </c>
      <c r="F67">
        <v>100</v>
      </c>
      <c r="G67">
        <v>1133</v>
      </c>
      <c r="H67" t="b">
        <v>1</v>
      </c>
      <c r="I67" s="1">
        <v>45788.502523148149</v>
      </c>
      <c r="J67" t="s">
        <v>548</v>
      </c>
      <c r="O67">
        <v>52.583300000000001</v>
      </c>
      <c r="P67">
        <v>-1.0832999999999999</v>
      </c>
      <c r="Q67" t="s">
        <v>71</v>
      </c>
      <c r="R67" t="s">
        <v>72</v>
      </c>
      <c r="S67" t="s">
        <v>549</v>
      </c>
      <c r="T67" t="s">
        <v>550</v>
      </c>
      <c r="U67" t="s">
        <v>551</v>
      </c>
      <c r="V67" t="s">
        <v>76</v>
      </c>
      <c r="X67" t="s">
        <v>77</v>
      </c>
      <c r="Z67" t="s">
        <v>552</v>
      </c>
      <c r="AA67" t="s">
        <v>91</v>
      </c>
      <c r="AB67" t="s">
        <v>80</v>
      </c>
      <c r="AC67" t="s">
        <v>80</v>
      </c>
      <c r="AD67" t="s">
        <v>80</v>
      </c>
      <c r="AE67" t="s">
        <v>80</v>
      </c>
      <c r="AF67" t="s">
        <v>80</v>
      </c>
      <c r="AG67" t="s">
        <v>80</v>
      </c>
      <c r="AH67" t="s">
        <v>80</v>
      </c>
      <c r="AI67" t="s">
        <v>80</v>
      </c>
      <c r="AJ67" t="s">
        <v>80</v>
      </c>
      <c r="AK67" t="s">
        <v>80</v>
      </c>
      <c r="AL67" t="s">
        <v>80</v>
      </c>
      <c r="AM67" t="s">
        <v>80</v>
      </c>
      <c r="AN67" t="s">
        <v>80</v>
      </c>
      <c r="AO67" t="s">
        <v>80</v>
      </c>
      <c r="AP67" t="s">
        <v>77</v>
      </c>
      <c r="AR67" t="s">
        <v>553</v>
      </c>
      <c r="AS67" t="s">
        <v>79</v>
      </c>
      <c r="AT67" t="s">
        <v>79</v>
      </c>
      <c r="AU67" t="s">
        <v>79</v>
      </c>
      <c r="AV67" t="s">
        <v>79</v>
      </c>
      <c r="AW67" t="s">
        <v>80</v>
      </c>
      <c r="AX67" t="s">
        <v>80</v>
      </c>
      <c r="AY67" t="s">
        <v>80</v>
      </c>
      <c r="AZ67" t="s">
        <v>80</v>
      </c>
      <c r="BA67" t="s">
        <v>80</v>
      </c>
      <c r="BB67" t="s">
        <v>80</v>
      </c>
      <c r="BC67" t="s">
        <v>80</v>
      </c>
      <c r="BD67" t="s">
        <v>80</v>
      </c>
      <c r="BE67" t="s">
        <v>80</v>
      </c>
      <c r="BF67" t="s">
        <v>80</v>
      </c>
      <c r="BG67" t="s">
        <v>80</v>
      </c>
      <c r="BH67" t="s">
        <v>82</v>
      </c>
      <c r="BI67" t="s">
        <v>549</v>
      </c>
      <c r="BJ67">
        <f t="shared" si="19"/>
        <v>1</v>
      </c>
      <c r="BK67">
        <f>COUNTIF(AS67:BG67, "Correct") + COUNTIF(AS67:BG67, "Incorrect")</f>
        <v>4</v>
      </c>
      <c r="BL67">
        <v>1</v>
      </c>
      <c r="BM67">
        <v>4</v>
      </c>
      <c r="BN67" t="b">
        <f t="shared" ref="BN67:BN103" si="20">BJ67=BL67</f>
        <v>1</v>
      </c>
      <c r="BO67" t="b">
        <f t="shared" ref="BO67:BO103" si="21">BK67=BM67</f>
        <v>1</v>
      </c>
      <c r="BP67" t="b">
        <f t="shared" ref="BP67:BP103" si="22">NOT(AND(BN67, BO67))</f>
        <v>0</v>
      </c>
      <c r="BQ67" t="b">
        <v>0</v>
      </c>
      <c r="BR67">
        <f t="shared" ref="BR67:BR103" si="23">COUNTIF(AA67:AO67, "Correct")/BJ67</f>
        <v>0</v>
      </c>
      <c r="BS67">
        <f t="shared" ref="BS67:BS103" si="24">COUNTIF(AS67:BG67, "Correct")/BK67</f>
        <v>1</v>
      </c>
    </row>
    <row r="68" spans="1:71" ht="20" customHeight="1" x14ac:dyDescent="0.2">
      <c r="A68" t="s">
        <v>555</v>
      </c>
      <c r="B68" s="1">
        <v>45788.501979166664</v>
      </c>
      <c r="C68" s="1">
        <v>45788.523252314815</v>
      </c>
      <c r="D68" t="s">
        <v>68</v>
      </c>
      <c r="E68" t="s">
        <v>554</v>
      </c>
      <c r="F68">
        <v>100</v>
      </c>
      <c r="G68">
        <v>1838</v>
      </c>
      <c r="H68" t="b">
        <v>1</v>
      </c>
      <c r="I68" s="1">
        <v>45788.523263888892</v>
      </c>
      <c r="J68" t="s">
        <v>555</v>
      </c>
      <c r="O68">
        <v>55.899500000000003</v>
      </c>
      <c r="P68">
        <v>-3.5236999999999998</v>
      </c>
      <c r="Q68" t="s">
        <v>71</v>
      </c>
      <c r="R68" t="s">
        <v>72</v>
      </c>
      <c r="S68" t="s">
        <v>556</v>
      </c>
      <c r="T68" t="s">
        <v>557</v>
      </c>
      <c r="U68" t="s">
        <v>558</v>
      </c>
      <c r="V68" t="s">
        <v>76</v>
      </c>
      <c r="X68" t="s">
        <v>77</v>
      </c>
      <c r="Z68" t="s">
        <v>559</v>
      </c>
      <c r="AA68" t="s">
        <v>79</v>
      </c>
      <c r="AB68" t="s">
        <v>79</v>
      </c>
      <c r="AC68" t="s">
        <v>79</v>
      </c>
      <c r="AD68" t="s">
        <v>91</v>
      </c>
      <c r="AE68" t="s">
        <v>79</v>
      </c>
      <c r="AF68" t="s">
        <v>80</v>
      </c>
      <c r="AG68" t="s">
        <v>80</v>
      </c>
      <c r="AH68" t="s">
        <v>80</v>
      </c>
      <c r="AI68" t="s">
        <v>80</v>
      </c>
      <c r="AJ68" t="s">
        <v>80</v>
      </c>
      <c r="AK68" t="s">
        <v>80</v>
      </c>
      <c r="AL68" t="s">
        <v>80</v>
      </c>
      <c r="AM68" t="s">
        <v>80</v>
      </c>
      <c r="AN68" t="s">
        <v>80</v>
      </c>
      <c r="AO68" t="s">
        <v>80</v>
      </c>
      <c r="AP68" t="s">
        <v>77</v>
      </c>
      <c r="AR68" t="s">
        <v>560</v>
      </c>
      <c r="AS68" t="s">
        <v>79</v>
      </c>
      <c r="AT68" t="s">
        <v>79</v>
      </c>
      <c r="AU68" t="s">
        <v>79</v>
      </c>
      <c r="AV68" t="s">
        <v>79</v>
      </c>
      <c r="AW68" t="s">
        <v>91</v>
      </c>
      <c r="AX68" t="s">
        <v>91</v>
      </c>
      <c r="AY68" t="s">
        <v>80</v>
      </c>
      <c r="AZ68" t="s">
        <v>80</v>
      </c>
      <c r="BA68" t="s">
        <v>80</v>
      </c>
      <c r="BB68" t="s">
        <v>80</v>
      </c>
      <c r="BC68" t="s">
        <v>80</v>
      </c>
      <c r="BD68" t="s">
        <v>80</v>
      </c>
      <c r="BE68" t="s">
        <v>80</v>
      </c>
      <c r="BF68" t="s">
        <v>80</v>
      </c>
      <c r="BG68" t="s">
        <v>80</v>
      </c>
      <c r="BH68" t="s">
        <v>92</v>
      </c>
      <c r="BI68" t="s">
        <v>556</v>
      </c>
      <c r="BJ68">
        <f t="shared" si="19"/>
        <v>5</v>
      </c>
      <c r="BK68">
        <f>COUNTIF(AS68:BG68, "Correct") + COUNTIF(AS68:BG68, "Incorrect")</f>
        <v>6</v>
      </c>
      <c r="BL68">
        <v>5</v>
      </c>
      <c r="BM68">
        <v>6</v>
      </c>
      <c r="BN68" t="b">
        <f t="shared" si="20"/>
        <v>1</v>
      </c>
      <c r="BO68" t="b">
        <f t="shared" si="21"/>
        <v>1</v>
      </c>
      <c r="BP68" t="b">
        <f t="shared" si="22"/>
        <v>0</v>
      </c>
      <c r="BQ68" t="b">
        <v>0</v>
      </c>
      <c r="BR68">
        <f t="shared" si="23"/>
        <v>0.8</v>
      </c>
      <c r="BS68">
        <f t="shared" si="24"/>
        <v>0.66666666666666663</v>
      </c>
    </row>
    <row r="69" spans="1:71" ht="20" customHeight="1" x14ac:dyDescent="0.2">
      <c r="A69" t="s">
        <v>562</v>
      </c>
      <c r="B69" s="1">
        <v>45788.910370370373</v>
      </c>
      <c r="C69" s="1">
        <v>45788.920243055552</v>
      </c>
      <c r="D69" t="s">
        <v>68</v>
      </c>
      <c r="E69" t="s">
        <v>561</v>
      </c>
      <c r="F69">
        <v>100</v>
      </c>
      <c r="G69">
        <v>852</v>
      </c>
      <c r="H69" t="b">
        <v>1</v>
      </c>
      <c r="I69" s="1">
        <v>45788.920243055552</v>
      </c>
      <c r="J69" t="s">
        <v>562</v>
      </c>
      <c r="O69">
        <v>45.522100000000002</v>
      </c>
      <c r="P69">
        <v>-122.85850000000001</v>
      </c>
      <c r="Q69" t="s">
        <v>71</v>
      </c>
      <c r="R69" t="s">
        <v>72</v>
      </c>
      <c r="S69" t="s">
        <v>563</v>
      </c>
      <c r="T69" t="s">
        <v>564</v>
      </c>
      <c r="U69" t="s">
        <v>565</v>
      </c>
      <c r="V69" t="s">
        <v>76</v>
      </c>
      <c r="X69" t="s">
        <v>77</v>
      </c>
      <c r="Z69" t="s">
        <v>566</v>
      </c>
      <c r="AA69" t="s">
        <v>79</v>
      </c>
      <c r="AB69" t="s">
        <v>79</v>
      </c>
      <c r="AC69" t="s">
        <v>79</v>
      </c>
      <c r="AD69" t="s">
        <v>91</v>
      </c>
      <c r="AE69" t="s">
        <v>80</v>
      </c>
      <c r="AF69" t="s">
        <v>80</v>
      </c>
      <c r="AG69" t="s">
        <v>80</v>
      </c>
      <c r="AH69" t="s">
        <v>80</v>
      </c>
      <c r="AI69" t="s">
        <v>80</v>
      </c>
      <c r="AJ69" t="s">
        <v>80</v>
      </c>
      <c r="AK69" t="s">
        <v>80</v>
      </c>
      <c r="AL69" t="s">
        <v>80</v>
      </c>
      <c r="AM69" t="s">
        <v>80</v>
      </c>
      <c r="AN69" t="s">
        <v>80</v>
      </c>
      <c r="AO69" t="s">
        <v>80</v>
      </c>
      <c r="AP69" t="s">
        <v>77</v>
      </c>
      <c r="AR69" t="s">
        <v>567</v>
      </c>
      <c r="AS69" t="s">
        <v>91</v>
      </c>
      <c r="AT69" t="s">
        <v>80</v>
      </c>
      <c r="AU69" t="s">
        <v>80</v>
      </c>
      <c r="AV69" t="s">
        <v>80</v>
      </c>
      <c r="AW69" t="s">
        <v>80</v>
      </c>
      <c r="AX69" t="s">
        <v>80</v>
      </c>
      <c r="AY69" t="s">
        <v>80</v>
      </c>
      <c r="AZ69" t="s">
        <v>80</v>
      </c>
      <c r="BA69" t="s">
        <v>80</v>
      </c>
      <c r="BB69" t="s">
        <v>80</v>
      </c>
      <c r="BC69" t="s">
        <v>80</v>
      </c>
      <c r="BD69" t="s">
        <v>80</v>
      </c>
      <c r="BE69" t="s">
        <v>80</v>
      </c>
      <c r="BF69" t="s">
        <v>80</v>
      </c>
      <c r="BG69" t="s">
        <v>80</v>
      </c>
      <c r="BH69" t="s">
        <v>92</v>
      </c>
      <c r="BI69" t="s">
        <v>563</v>
      </c>
      <c r="BJ69">
        <f t="shared" si="19"/>
        <v>4</v>
      </c>
      <c r="BK69">
        <f t="shared" ref="BK69" si="25">COUNTIF(AS69:BG69, "Correct") + COUNTIF(AS69:BG69, "Incorrect")</f>
        <v>1</v>
      </c>
      <c r="BL69">
        <v>4</v>
      </c>
      <c r="BM69">
        <v>1</v>
      </c>
      <c r="BN69" t="b">
        <f t="shared" si="20"/>
        <v>1</v>
      </c>
      <c r="BO69" t="b">
        <f t="shared" si="21"/>
        <v>1</v>
      </c>
      <c r="BP69" t="b">
        <f t="shared" si="22"/>
        <v>0</v>
      </c>
      <c r="BQ69" t="b">
        <v>0</v>
      </c>
      <c r="BR69">
        <f t="shared" si="23"/>
        <v>0.75</v>
      </c>
      <c r="BS69">
        <f t="shared" si="24"/>
        <v>0</v>
      </c>
    </row>
    <row r="70" spans="1:71" ht="20" customHeight="1" x14ac:dyDescent="0.2">
      <c r="A70" t="s">
        <v>569</v>
      </c>
      <c r="B70" s="1">
        <v>45788.903356481482</v>
      </c>
      <c r="C70" s="1">
        <v>45788.921851851854</v>
      </c>
      <c r="D70" t="s">
        <v>68</v>
      </c>
      <c r="E70" t="s">
        <v>568</v>
      </c>
      <c r="F70">
        <v>100</v>
      </c>
      <c r="G70">
        <v>1597</v>
      </c>
      <c r="H70" t="b">
        <v>1</v>
      </c>
      <c r="I70" s="1">
        <v>45788.921851851854</v>
      </c>
      <c r="J70" t="s">
        <v>569</v>
      </c>
      <c r="O70">
        <v>39.018000000000001</v>
      </c>
      <c r="P70">
        <v>-77.539000000000001</v>
      </c>
      <c r="Q70" t="s">
        <v>71</v>
      </c>
      <c r="R70" t="s">
        <v>72</v>
      </c>
      <c r="S70" t="s">
        <v>570</v>
      </c>
      <c r="T70" t="s">
        <v>571</v>
      </c>
      <c r="U70" t="s">
        <v>572</v>
      </c>
      <c r="V70" t="s">
        <v>76</v>
      </c>
      <c r="W70" t="s">
        <v>573</v>
      </c>
      <c r="X70" t="s">
        <v>77</v>
      </c>
      <c r="Z70" t="s">
        <v>574</v>
      </c>
      <c r="AA70" t="s">
        <v>79</v>
      </c>
      <c r="AB70" t="s">
        <v>79</v>
      </c>
      <c r="AC70" t="s">
        <v>79</v>
      </c>
      <c r="AD70" t="s">
        <v>80</v>
      </c>
      <c r="AE70" t="s">
        <v>80</v>
      </c>
      <c r="AF70" t="s">
        <v>80</v>
      </c>
      <c r="AG70" t="s">
        <v>80</v>
      </c>
      <c r="AH70" t="s">
        <v>80</v>
      </c>
      <c r="AI70" t="s">
        <v>80</v>
      </c>
      <c r="AJ70" t="s">
        <v>80</v>
      </c>
      <c r="AK70" t="s">
        <v>80</v>
      </c>
      <c r="AL70" t="s">
        <v>80</v>
      </c>
      <c r="AM70" t="s">
        <v>80</v>
      </c>
      <c r="AN70" t="s">
        <v>80</v>
      </c>
      <c r="AO70" t="s">
        <v>80</v>
      </c>
      <c r="AP70" t="s">
        <v>77</v>
      </c>
      <c r="AR70" t="s">
        <v>575</v>
      </c>
      <c r="AS70" t="s">
        <v>79</v>
      </c>
      <c r="AT70" t="s">
        <v>79</v>
      </c>
      <c r="AU70" t="s">
        <v>79</v>
      </c>
      <c r="AV70" t="s">
        <v>79</v>
      </c>
      <c r="AW70" t="s">
        <v>79</v>
      </c>
      <c r="AX70" t="s">
        <v>79</v>
      </c>
      <c r="AY70" t="s">
        <v>80</v>
      </c>
      <c r="AZ70" t="s">
        <v>80</v>
      </c>
      <c r="BA70" t="s">
        <v>80</v>
      </c>
      <c r="BB70" t="s">
        <v>80</v>
      </c>
      <c r="BC70" t="s">
        <v>80</v>
      </c>
      <c r="BD70" t="s">
        <v>80</v>
      </c>
      <c r="BE70" t="s">
        <v>80</v>
      </c>
      <c r="BF70" t="s">
        <v>80</v>
      </c>
      <c r="BG70" t="s">
        <v>80</v>
      </c>
      <c r="BH70" t="s">
        <v>576</v>
      </c>
      <c r="BI70" t="s">
        <v>570</v>
      </c>
      <c r="BJ70">
        <f t="shared" si="19"/>
        <v>3</v>
      </c>
      <c r="BK70">
        <f>COUNTIF(AS70:BG70, "Correct") + COUNTIF(AS70:BG70, "Incorrect")</f>
        <v>6</v>
      </c>
      <c r="BL70">
        <v>3</v>
      </c>
      <c r="BM70">
        <v>6</v>
      </c>
      <c r="BN70" t="b">
        <f t="shared" si="20"/>
        <v>1</v>
      </c>
      <c r="BO70" t="b">
        <f t="shared" si="21"/>
        <v>1</v>
      </c>
      <c r="BP70" t="b">
        <f t="shared" si="22"/>
        <v>0</v>
      </c>
      <c r="BQ70" t="b">
        <v>0</v>
      </c>
      <c r="BR70">
        <f t="shared" si="23"/>
        <v>1</v>
      </c>
      <c r="BS70">
        <f t="shared" si="24"/>
        <v>1</v>
      </c>
    </row>
    <row r="71" spans="1:71" ht="20" customHeight="1" x14ac:dyDescent="0.2">
      <c r="A71" t="s">
        <v>578</v>
      </c>
      <c r="B71" s="1">
        <v>45788.90320601852</v>
      </c>
      <c r="C71" s="1">
        <v>45788.924826388888</v>
      </c>
      <c r="D71" t="s">
        <v>68</v>
      </c>
      <c r="E71" t="s">
        <v>577</v>
      </c>
      <c r="F71">
        <v>100</v>
      </c>
      <c r="G71">
        <v>1867</v>
      </c>
      <c r="H71" t="b">
        <v>1</v>
      </c>
      <c r="I71" s="1">
        <v>45788.924826388888</v>
      </c>
      <c r="J71" t="s">
        <v>578</v>
      </c>
      <c r="O71">
        <v>53.4146</v>
      </c>
      <c r="P71">
        <v>-2.2273999999999998</v>
      </c>
      <c r="Q71" t="s">
        <v>71</v>
      </c>
      <c r="R71" t="s">
        <v>72</v>
      </c>
      <c r="S71" t="s">
        <v>579</v>
      </c>
      <c r="T71" t="s">
        <v>580</v>
      </c>
      <c r="U71" t="s">
        <v>581</v>
      </c>
      <c r="V71" t="s">
        <v>76</v>
      </c>
      <c r="X71" t="s">
        <v>77</v>
      </c>
      <c r="Z71" t="s">
        <v>582</v>
      </c>
      <c r="AA71" t="s">
        <v>79</v>
      </c>
      <c r="AB71" t="s">
        <v>79</v>
      </c>
      <c r="AC71" t="s">
        <v>79</v>
      </c>
      <c r="AD71" t="s">
        <v>79</v>
      </c>
      <c r="AE71" t="s">
        <v>80</v>
      </c>
      <c r="AF71" t="s">
        <v>80</v>
      </c>
      <c r="AG71" t="s">
        <v>80</v>
      </c>
      <c r="AH71" t="s">
        <v>80</v>
      </c>
      <c r="AI71" t="s">
        <v>80</v>
      </c>
      <c r="AJ71" t="s">
        <v>80</v>
      </c>
      <c r="AK71" t="s">
        <v>80</v>
      </c>
      <c r="AL71" t="s">
        <v>80</v>
      </c>
      <c r="AM71" t="s">
        <v>80</v>
      </c>
      <c r="AN71" t="s">
        <v>80</v>
      </c>
      <c r="AO71" t="s">
        <v>80</v>
      </c>
      <c r="AP71" t="s">
        <v>113</v>
      </c>
      <c r="AQ71" s="2" t="s">
        <v>583</v>
      </c>
      <c r="AR71" t="s">
        <v>584</v>
      </c>
      <c r="AS71" t="s">
        <v>91</v>
      </c>
      <c r="AT71" t="s">
        <v>80</v>
      </c>
      <c r="AU71" t="s">
        <v>80</v>
      </c>
      <c r="AV71" t="s">
        <v>80</v>
      </c>
      <c r="AW71" t="s">
        <v>80</v>
      </c>
      <c r="AX71" t="s">
        <v>80</v>
      </c>
      <c r="AY71" t="s">
        <v>80</v>
      </c>
      <c r="AZ71" t="s">
        <v>80</v>
      </c>
      <c r="BA71" t="s">
        <v>80</v>
      </c>
      <c r="BB71" t="s">
        <v>80</v>
      </c>
      <c r="BC71" t="s">
        <v>80</v>
      </c>
      <c r="BD71" t="s">
        <v>80</v>
      </c>
      <c r="BE71" t="s">
        <v>80</v>
      </c>
      <c r="BF71" t="s">
        <v>80</v>
      </c>
      <c r="BG71" t="s">
        <v>80</v>
      </c>
      <c r="BH71" t="s">
        <v>92</v>
      </c>
      <c r="BI71" t="s">
        <v>579</v>
      </c>
      <c r="BJ71">
        <f t="shared" si="19"/>
        <v>4</v>
      </c>
      <c r="BK71">
        <f>COUNTIF(AS71:BG71, "Correct") + COUNTIF(AS71:BG71, "Incorrect")</f>
        <v>1</v>
      </c>
      <c r="BL71">
        <v>4</v>
      </c>
      <c r="BM71">
        <v>1</v>
      </c>
      <c r="BN71" t="b">
        <f t="shared" si="20"/>
        <v>1</v>
      </c>
      <c r="BO71" t="b">
        <f t="shared" si="21"/>
        <v>1</v>
      </c>
      <c r="BP71" t="b">
        <f t="shared" si="22"/>
        <v>0</v>
      </c>
      <c r="BQ71" t="b">
        <v>0</v>
      </c>
      <c r="BR71">
        <f t="shared" si="23"/>
        <v>1</v>
      </c>
      <c r="BS71">
        <f t="shared" si="24"/>
        <v>0</v>
      </c>
    </row>
    <row r="72" spans="1:71" ht="20" customHeight="1" x14ac:dyDescent="0.2">
      <c r="A72" t="s">
        <v>585</v>
      </c>
      <c r="B72" s="1">
        <v>45788.919027777774</v>
      </c>
      <c r="C72" s="1">
        <v>45788.932673611111</v>
      </c>
      <c r="D72" t="s">
        <v>68</v>
      </c>
      <c r="E72" t="s">
        <v>176</v>
      </c>
      <c r="F72">
        <v>100</v>
      </c>
      <c r="G72">
        <v>1179</v>
      </c>
      <c r="H72" t="b">
        <v>1</v>
      </c>
      <c r="I72" s="1">
        <v>45788.932685185187</v>
      </c>
      <c r="J72" t="s">
        <v>585</v>
      </c>
      <c r="O72">
        <v>41.493400000000001</v>
      </c>
      <c r="P72">
        <v>-87.354799999999997</v>
      </c>
      <c r="Q72" t="s">
        <v>71</v>
      </c>
      <c r="R72" t="s">
        <v>72</v>
      </c>
      <c r="S72" t="s">
        <v>178</v>
      </c>
      <c r="T72" t="s">
        <v>586</v>
      </c>
      <c r="U72" t="s">
        <v>587</v>
      </c>
      <c r="V72" t="s">
        <v>76</v>
      </c>
      <c r="X72" t="s">
        <v>77</v>
      </c>
      <c r="Z72" t="s">
        <v>588</v>
      </c>
      <c r="AA72" t="s">
        <v>79</v>
      </c>
      <c r="AB72" t="s">
        <v>79</v>
      </c>
      <c r="AC72" t="s">
        <v>79</v>
      </c>
      <c r="AD72" t="s">
        <v>79</v>
      </c>
      <c r="AE72" t="s">
        <v>91</v>
      </c>
      <c r="AF72" t="s">
        <v>80</v>
      </c>
      <c r="AG72" t="s">
        <v>80</v>
      </c>
      <c r="AH72" t="s">
        <v>80</v>
      </c>
      <c r="AI72" t="s">
        <v>80</v>
      </c>
      <c r="AJ72" t="s">
        <v>80</v>
      </c>
      <c r="AK72" t="s">
        <v>80</v>
      </c>
      <c r="AL72" t="s">
        <v>80</v>
      </c>
      <c r="AM72" t="s">
        <v>80</v>
      </c>
      <c r="AN72" t="s">
        <v>80</v>
      </c>
      <c r="AO72" t="s">
        <v>80</v>
      </c>
      <c r="AP72" t="s">
        <v>77</v>
      </c>
      <c r="AR72" t="s">
        <v>589</v>
      </c>
      <c r="AS72" t="s">
        <v>79</v>
      </c>
      <c r="AT72" t="s">
        <v>79</v>
      </c>
      <c r="AU72" t="s">
        <v>79</v>
      </c>
      <c r="AV72" t="s">
        <v>91</v>
      </c>
      <c r="AW72" t="s">
        <v>91</v>
      </c>
      <c r="AX72" t="s">
        <v>91</v>
      </c>
      <c r="AY72" t="s">
        <v>91</v>
      </c>
      <c r="AZ72" t="s">
        <v>91</v>
      </c>
      <c r="BA72" t="s">
        <v>91</v>
      </c>
      <c r="BB72" t="s">
        <v>91</v>
      </c>
      <c r="BC72" t="s">
        <v>91</v>
      </c>
      <c r="BD72" t="s">
        <v>80</v>
      </c>
      <c r="BE72" t="s">
        <v>80</v>
      </c>
      <c r="BF72" t="s">
        <v>80</v>
      </c>
      <c r="BG72" t="s">
        <v>80</v>
      </c>
      <c r="BH72" t="s">
        <v>238</v>
      </c>
      <c r="BI72" t="s">
        <v>178</v>
      </c>
      <c r="BJ72">
        <f t="shared" si="19"/>
        <v>5</v>
      </c>
      <c r="BK72">
        <f t="shared" ref="BK72:BK73" si="26">COUNTIF(AS72:BG72, "Correct") + COUNTIF(AS72:BG72, "Incorrect")</f>
        <v>11</v>
      </c>
      <c r="BL72">
        <v>5</v>
      </c>
      <c r="BM72">
        <v>11</v>
      </c>
      <c r="BN72" t="b">
        <f t="shared" si="20"/>
        <v>1</v>
      </c>
      <c r="BO72" t="b">
        <f t="shared" si="21"/>
        <v>1</v>
      </c>
      <c r="BP72" t="b">
        <f t="shared" si="22"/>
        <v>0</v>
      </c>
      <c r="BQ72" t="b">
        <v>0</v>
      </c>
      <c r="BR72">
        <f t="shared" si="23"/>
        <v>0.8</v>
      </c>
      <c r="BS72">
        <f t="shared" si="24"/>
        <v>0.27272727272727271</v>
      </c>
    </row>
    <row r="73" spans="1:71" ht="20" customHeight="1" x14ac:dyDescent="0.2">
      <c r="A73" t="s">
        <v>591</v>
      </c>
      <c r="B73" s="1">
        <v>45788.911643518521</v>
      </c>
      <c r="C73" s="1">
        <v>45788.932766203703</v>
      </c>
      <c r="D73" t="s">
        <v>68</v>
      </c>
      <c r="E73" t="s">
        <v>590</v>
      </c>
      <c r="F73">
        <v>100</v>
      </c>
      <c r="G73">
        <v>1824</v>
      </c>
      <c r="H73" t="b">
        <v>1</v>
      </c>
      <c r="I73" s="1">
        <v>45788.932766203703</v>
      </c>
      <c r="J73" t="s">
        <v>591</v>
      </c>
      <c r="O73">
        <v>45.481699999999996</v>
      </c>
      <c r="P73">
        <v>-122.4156</v>
      </c>
      <c r="Q73" t="s">
        <v>71</v>
      </c>
      <c r="R73" t="s">
        <v>72</v>
      </c>
      <c r="S73" t="s">
        <v>592</v>
      </c>
      <c r="T73" t="s">
        <v>593</v>
      </c>
      <c r="U73" t="s">
        <v>594</v>
      </c>
      <c r="V73" t="s">
        <v>76</v>
      </c>
      <c r="W73" t="s">
        <v>595</v>
      </c>
      <c r="X73" t="s">
        <v>77</v>
      </c>
      <c r="Z73" t="s">
        <v>596</v>
      </c>
      <c r="AA73" s="2" t="s">
        <v>79</v>
      </c>
      <c r="AB73" t="s">
        <v>213</v>
      </c>
      <c r="AC73" t="s">
        <v>91</v>
      </c>
      <c r="AD73" t="s">
        <v>91</v>
      </c>
      <c r="AE73" t="s">
        <v>91</v>
      </c>
      <c r="AF73" t="s">
        <v>91</v>
      </c>
      <c r="AG73" t="s">
        <v>91</v>
      </c>
      <c r="AH73" t="s">
        <v>91</v>
      </c>
      <c r="AI73" t="s">
        <v>91</v>
      </c>
      <c r="AJ73" t="s">
        <v>80</v>
      </c>
      <c r="AK73" t="s">
        <v>80</v>
      </c>
      <c r="AL73" t="s">
        <v>80</v>
      </c>
      <c r="AM73" t="s">
        <v>80</v>
      </c>
      <c r="AN73" t="s">
        <v>80</v>
      </c>
      <c r="AO73" t="s">
        <v>80</v>
      </c>
      <c r="AP73" t="s">
        <v>77</v>
      </c>
      <c r="AR73" t="s">
        <v>597</v>
      </c>
      <c r="AS73" t="s">
        <v>91</v>
      </c>
      <c r="AT73" t="s">
        <v>91</v>
      </c>
      <c r="AU73" t="s">
        <v>91</v>
      </c>
      <c r="AV73" t="s">
        <v>91</v>
      </c>
      <c r="AW73" t="s">
        <v>91</v>
      </c>
      <c r="AX73" t="s">
        <v>91</v>
      </c>
      <c r="AY73" t="s">
        <v>91</v>
      </c>
      <c r="AZ73" t="s">
        <v>91</v>
      </c>
      <c r="BA73" t="s">
        <v>91</v>
      </c>
      <c r="BB73" t="s">
        <v>80</v>
      </c>
      <c r="BC73" t="s">
        <v>80</v>
      </c>
      <c r="BD73" t="s">
        <v>80</v>
      </c>
      <c r="BE73" t="s">
        <v>80</v>
      </c>
      <c r="BF73" t="s">
        <v>80</v>
      </c>
      <c r="BG73" t="s">
        <v>80</v>
      </c>
      <c r="BH73" t="s">
        <v>92</v>
      </c>
      <c r="BI73" t="s">
        <v>592</v>
      </c>
      <c r="BJ73">
        <f t="shared" si="19"/>
        <v>8</v>
      </c>
      <c r="BK73">
        <f t="shared" si="26"/>
        <v>9</v>
      </c>
      <c r="BL73">
        <v>8</v>
      </c>
      <c r="BM73">
        <v>9</v>
      </c>
      <c r="BN73" t="b">
        <f t="shared" si="20"/>
        <v>1</v>
      </c>
      <c r="BO73" t="b">
        <f t="shared" si="21"/>
        <v>1</v>
      </c>
      <c r="BP73" t="b">
        <f t="shared" si="22"/>
        <v>0</v>
      </c>
      <c r="BQ73" t="b">
        <v>0</v>
      </c>
      <c r="BR73">
        <f t="shared" si="23"/>
        <v>0.125</v>
      </c>
      <c r="BS73">
        <f t="shared" si="24"/>
        <v>0</v>
      </c>
    </row>
    <row r="74" spans="1:71" ht="20" customHeight="1" x14ac:dyDescent="0.2">
      <c r="A74" t="s">
        <v>599</v>
      </c>
      <c r="B74" s="1">
        <v>45788.950266203705</v>
      </c>
      <c r="C74" s="1">
        <v>45788.982222222221</v>
      </c>
      <c r="D74" t="s">
        <v>68</v>
      </c>
      <c r="E74" t="s">
        <v>598</v>
      </c>
      <c r="F74">
        <v>100</v>
      </c>
      <c r="G74">
        <v>2760</v>
      </c>
      <c r="H74" t="b">
        <v>1</v>
      </c>
      <c r="I74" s="1">
        <v>45788.982222222221</v>
      </c>
      <c r="J74" t="s">
        <v>599</v>
      </c>
      <c r="O74">
        <v>40.888100000000001</v>
      </c>
      <c r="P74">
        <v>-73.841399999999993</v>
      </c>
      <c r="Q74" t="s">
        <v>71</v>
      </c>
      <c r="R74" t="s">
        <v>72</v>
      </c>
      <c r="S74" t="s">
        <v>600</v>
      </c>
      <c r="T74" t="s">
        <v>601</v>
      </c>
      <c r="U74" t="s">
        <v>602</v>
      </c>
      <c r="V74" t="s">
        <v>76</v>
      </c>
      <c r="W74" t="s">
        <v>603</v>
      </c>
      <c r="X74" t="s">
        <v>77</v>
      </c>
      <c r="Z74" t="s">
        <v>604</v>
      </c>
      <c r="AA74" t="s">
        <v>91</v>
      </c>
      <c r="AB74" t="s">
        <v>197</v>
      </c>
      <c r="AC74" t="s">
        <v>197</v>
      </c>
      <c r="AD74" t="s">
        <v>197</v>
      </c>
      <c r="AE74" t="s">
        <v>91</v>
      </c>
      <c r="AF74" t="s">
        <v>197</v>
      </c>
      <c r="AG74" t="s">
        <v>80</v>
      </c>
      <c r="AH74" t="s">
        <v>80</v>
      </c>
      <c r="AI74" t="s">
        <v>80</v>
      </c>
      <c r="AJ74" t="s">
        <v>80</v>
      </c>
      <c r="AK74" t="s">
        <v>80</v>
      </c>
      <c r="AL74" t="s">
        <v>80</v>
      </c>
      <c r="AM74" t="s">
        <v>80</v>
      </c>
      <c r="AN74" t="s">
        <v>80</v>
      </c>
      <c r="AO74" t="s">
        <v>80</v>
      </c>
      <c r="AP74" t="s">
        <v>77</v>
      </c>
      <c r="AR74" t="s">
        <v>605</v>
      </c>
      <c r="AS74" t="s">
        <v>91</v>
      </c>
      <c r="AT74" t="s">
        <v>91</v>
      </c>
      <c r="AU74" t="s">
        <v>91</v>
      </c>
      <c r="AV74" t="s">
        <v>197</v>
      </c>
      <c r="AW74" t="s">
        <v>197</v>
      </c>
      <c r="AX74" t="s">
        <v>91</v>
      </c>
      <c r="AY74" t="s">
        <v>197</v>
      </c>
      <c r="AZ74" t="s">
        <v>197</v>
      </c>
      <c r="BA74" t="s">
        <v>197</v>
      </c>
      <c r="BB74" t="s">
        <v>91</v>
      </c>
      <c r="BC74" t="s">
        <v>91</v>
      </c>
      <c r="BD74" t="s">
        <v>91</v>
      </c>
      <c r="BE74" t="s">
        <v>80</v>
      </c>
      <c r="BF74" t="s">
        <v>80</v>
      </c>
      <c r="BG74" t="s">
        <v>80</v>
      </c>
      <c r="BH74" t="s">
        <v>199</v>
      </c>
      <c r="BI74" t="s">
        <v>600</v>
      </c>
      <c r="BJ74">
        <f t="shared" si="19"/>
        <v>6</v>
      </c>
      <c r="BK74">
        <f>COUNTIF(AS74:BG74, "Correct") + COUNTIF(AS74:BG74, "Incorrect")</f>
        <v>12</v>
      </c>
      <c r="BL74">
        <v>6</v>
      </c>
      <c r="BM74">
        <v>12</v>
      </c>
      <c r="BN74" t="b">
        <f t="shared" si="20"/>
        <v>1</v>
      </c>
      <c r="BO74" t="b">
        <f t="shared" si="21"/>
        <v>1</v>
      </c>
      <c r="BP74" t="b">
        <f t="shared" si="22"/>
        <v>0</v>
      </c>
      <c r="BQ74" t="b">
        <v>0</v>
      </c>
      <c r="BR74">
        <f t="shared" si="23"/>
        <v>0.66666666666666663</v>
      </c>
      <c r="BS74">
        <f t="shared" si="24"/>
        <v>0.41666666666666669</v>
      </c>
    </row>
    <row r="75" spans="1:71" ht="20" customHeight="1" x14ac:dyDescent="0.2">
      <c r="A75" t="s">
        <v>607</v>
      </c>
      <c r="B75" s="1">
        <v>45789.014710648145</v>
      </c>
      <c r="C75" s="1">
        <v>45789.022743055553</v>
      </c>
      <c r="D75" t="s">
        <v>68</v>
      </c>
      <c r="E75" t="s">
        <v>606</v>
      </c>
      <c r="F75">
        <v>100</v>
      </c>
      <c r="G75">
        <v>694</v>
      </c>
      <c r="H75" t="b">
        <v>1</v>
      </c>
      <c r="I75" s="1">
        <v>45789.02275462963</v>
      </c>
      <c r="J75" t="s">
        <v>607</v>
      </c>
      <c r="O75">
        <v>33.955800000000004</v>
      </c>
      <c r="P75">
        <v>-118.38930000000001</v>
      </c>
      <c r="Q75" t="s">
        <v>71</v>
      </c>
      <c r="R75" t="s">
        <v>72</v>
      </c>
      <c r="S75" s="3" t="s">
        <v>608</v>
      </c>
      <c r="T75" s="2" t="s">
        <v>609</v>
      </c>
      <c r="U75" t="s">
        <v>610</v>
      </c>
      <c r="V75" t="s">
        <v>76</v>
      </c>
      <c r="X75" t="s">
        <v>77</v>
      </c>
      <c r="Z75" t="s">
        <v>611</v>
      </c>
      <c r="AA75" t="s">
        <v>79</v>
      </c>
      <c r="AB75" t="s">
        <v>79</v>
      </c>
      <c r="AC75" t="s">
        <v>79</v>
      </c>
      <c r="AD75" t="s">
        <v>80</v>
      </c>
      <c r="AE75" t="s">
        <v>80</v>
      </c>
      <c r="AF75" t="s">
        <v>80</v>
      </c>
      <c r="AG75" t="s">
        <v>80</v>
      </c>
      <c r="AH75" t="s">
        <v>80</v>
      </c>
      <c r="AI75" t="s">
        <v>80</v>
      </c>
      <c r="AJ75" t="s">
        <v>80</v>
      </c>
      <c r="AK75" t="s">
        <v>80</v>
      </c>
      <c r="AL75" t="s">
        <v>80</v>
      </c>
      <c r="AM75" t="s">
        <v>80</v>
      </c>
      <c r="AN75" t="s">
        <v>80</v>
      </c>
      <c r="AO75" t="s">
        <v>80</v>
      </c>
      <c r="AP75" t="s">
        <v>77</v>
      </c>
      <c r="AR75" t="s">
        <v>612</v>
      </c>
      <c r="AS75" t="s">
        <v>79</v>
      </c>
      <c r="AT75" t="s">
        <v>79</v>
      </c>
      <c r="AU75" t="s">
        <v>79</v>
      </c>
      <c r="AV75" t="s">
        <v>79</v>
      </c>
      <c r="AW75" t="s">
        <v>79</v>
      </c>
      <c r="AX75" t="s">
        <v>79</v>
      </c>
      <c r="AY75" t="s">
        <v>80</v>
      </c>
      <c r="AZ75" t="s">
        <v>80</v>
      </c>
      <c r="BA75" t="s">
        <v>80</v>
      </c>
      <c r="BB75" t="s">
        <v>80</v>
      </c>
      <c r="BC75" t="s">
        <v>80</v>
      </c>
      <c r="BD75" t="s">
        <v>80</v>
      </c>
      <c r="BE75" t="s">
        <v>80</v>
      </c>
      <c r="BF75" t="s">
        <v>80</v>
      </c>
      <c r="BG75" t="s">
        <v>80</v>
      </c>
      <c r="BH75" t="s">
        <v>82</v>
      </c>
      <c r="BI75" s="3" t="s">
        <v>608</v>
      </c>
      <c r="BJ75">
        <f t="shared" si="19"/>
        <v>3</v>
      </c>
      <c r="BK75">
        <f>COUNTIF(AS75:BG75, "Correct") + COUNTIF(AS75:BG75, "Incorrect")</f>
        <v>6</v>
      </c>
      <c r="BL75">
        <v>3</v>
      </c>
      <c r="BM75">
        <v>6</v>
      </c>
      <c r="BN75" t="b">
        <f t="shared" si="20"/>
        <v>1</v>
      </c>
      <c r="BO75" t="b">
        <f t="shared" si="21"/>
        <v>1</v>
      </c>
      <c r="BP75" t="b">
        <f t="shared" si="22"/>
        <v>0</v>
      </c>
      <c r="BQ75" t="b">
        <v>0</v>
      </c>
      <c r="BR75">
        <f t="shared" si="23"/>
        <v>1</v>
      </c>
      <c r="BS75">
        <f t="shared" si="24"/>
        <v>1</v>
      </c>
    </row>
    <row r="76" spans="1:71" ht="20" customHeight="1" x14ac:dyDescent="0.2">
      <c r="A76" t="s">
        <v>614</v>
      </c>
      <c r="B76" s="1">
        <v>45788.939571759256</v>
      </c>
      <c r="C76" s="1">
        <v>45789.432951388888</v>
      </c>
      <c r="D76" t="s">
        <v>68</v>
      </c>
      <c r="E76" t="s">
        <v>613</v>
      </c>
      <c r="F76">
        <v>100</v>
      </c>
      <c r="G76">
        <v>42628</v>
      </c>
      <c r="H76" t="b">
        <v>1</v>
      </c>
      <c r="I76" s="1">
        <v>45789.432962962965</v>
      </c>
      <c r="J76" t="s">
        <v>614</v>
      </c>
      <c r="O76">
        <v>41.427599999999998</v>
      </c>
      <c r="P76">
        <v>-79.702600000000004</v>
      </c>
      <c r="Q76" t="s">
        <v>71</v>
      </c>
      <c r="R76" t="s">
        <v>72</v>
      </c>
      <c r="S76" t="s">
        <v>615</v>
      </c>
      <c r="T76" t="s">
        <v>616</v>
      </c>
      <c r="U76" t="s">
        <v>617</v>
      </c>
      <c r="V76" t="s">
        <v>76</v>
      </c>
      <c r="W76" t="s">
        <v>618</v>
      </c>
      <c r="X76" t="s">
        <v>77</v>
      </c>
      <c r="Z76" t="s">
        <v>619</v>
      </c>
      <c r="AA76" t="s">
        <v>79</v>
      </c>
      <c r="AB76" t="s">
        <v>79</v>
      </c>
      <c r="AC76" t="s">
        <v>79</v>
      </c>
      <c r="AD76" t="s">
        <v>79</v>
      </c>
      <c r="AE76" t="s">
        <v>91</v>
      </c>
      <c r="AF76" t="s">
        <v>79</v>
      </c>
      <c r="AG76" t="s">
        <v>80</v>
      </c>
      <c r="AH76" t="s">
        <v>80</v>
      </c>
      <c r="AI76" t="s">
        <v>80</v>
      </c>
      <c r="AJ76" t="s">
        <v>80</v>
      </c>
      <c r="AK76" t="s">
        <v>80</v>
      </c>
      <c r="AL76" t="s">
        <v>80</v>
      </c>
      <c r="AM76" t="s">
        <v>80</v>
      </c>
      <c r="AN76" t="s">
        <v>80</v>
      </c>
      <c r="AO76" t="s">
        <v>80</v>
      </c>
      <c r="AP76" t="s">
        <v>77</v>
      </c>
      <c r="AR76" t="s">
        <v>620</v>
      </c>
      <c r="AS76" t="s">
        <v>79</v>
      </c>
      <c r="AT76" t="s">
        <v>79</v>
      </c>
      <c r="AU76" t="s">
        <v>79</v>
      </c>
      <c r="AV76" t="s">
        <v>79</v>
      </c>
      <c r="AW76" t="s">
        <v>91</v>
      </c>
      <c r="AX76" t="s">
        <v>80</v>
      </c>
      <c r="AY76" t="s">
        <v>80</v>
      </c>
      <c r="AZ76" t="s">
        <v>80</v>
      </c>
      <c r="BA76" t="s">
        <v>80</v>
      </c>
      <c r="BB76" t="s">
        <v>80</v>
      </c>
      <c r="BC76" t="s">
        <v>80</v>
      </c>
      <c r="BD76" t="s">
        <v>80</v>
      </c>
      <c r="BE76" t="s">
        <v>80</v>
      </c>
      <c r="BF76" t="s">
        <v>80</v>
      </c>
      <c r="BG76" t="s">
        <v>80</v>
      </c>
      <c r="BH76" t="s">
        <v>92</v>
      </c>
      <c r="BI76" t="s">
        <v>615</v>
      </c>
      <c r="BJ76">
        <f t="shared" si="19"/>
        <v>6</v>
      </c>
      <c r="BK76">
        <f t="shared" ref="BK76" si="27">COUNTIF(AS76:BG76, "Correct") + COUNTIF(AS76:BG76, "Incorrect")</f>
        <v>5</v>
      </c>
      <c r="BL76">
        <v>6</v>
      </c>
      <c r="BM76">
        <v>5</v>
      </c>
      <c r="BN76" t="b">
        <f t="shared" si="20"/>
        <v>1</v>
      </c>
      <c r="BO76" t="b">
        <f t="shared" si="21"/>
        <v>1</v>
      </c>
      <c r="BP76" t="b">
        <f t="shared" si="22"/>
        <v>0</v>
      </c>
      <c r="BQ76" t="b">
        <v>0</v>
      </c>
      <c r="BR76">
        <f t="shared" si="23"/>
        <v>0.83333333333333337</v>
      </c>
      <c r="BS76">
        <f t="shared" si="24"/>
        <v>0.8</v>
      </c>
    </row>
    <row r="77" spans="1:71" ht="20" customHeight="1" x14ac:dyDescent="0.2">
      <c r="A77" t="s">
        <v>622</v>
      </c>
      <c r="B77" s="1">
        <v>45791.065937500003</v>
      </c>
      <c r="C77" s="1">
        <v>45791.077141203707</v>
      </c>
      <c r="D77" t="s">
        <v>68</v>
      </c>
      <c r="E77" t="s">
        <v>621</v>
      </c>
      <c r="F77">
        <v>100</v>
      </c>
      <c r="G77">
        <v>968</v>
      </c>
      <c r="H77" t="b">
        <v>1</v>
      </c>
      <c r="I77" s="1">
        <v>45791.077141203707</v>
      </c>
      <c r="J77" t="s">
        <v>622</v>
      </c>
      <c r="O77">
        <v>51.533799999999999</v>
      </c>
      <c r="P77">
        <v>-0.45419999999999999</v>
      </c>
      <c r="Q77" t="s">
        <v>71</v>
      </c>
      <c r="R77" t="s">
        <v>72</v>
      </c>
      <c r="S77" t="s">
        <v>623</v>
      </c>
      <c r="T77" t="s">
        <v>624</v>
      </c>
      <c r="U77" t="s">
        <v>625</v>
      </c>
      <c r="V77" t="s">
        <v>76</v>
      </c>
      <c r="X77" t="s">
        <v>77</v>
      </c>
      <c r="Z77" t="s">
        <v>626</v>
      </c>
      <c r="AA77" t="s">
        <v>197</v>
      </c>
      <c r="AB77" t="s">
        <v>197</v>
      </c>
      <c r="AC77" t="s">
        <v>91</v>
      </c>
      <c r="AD77" t="s">
        <v>91</v>
      </c>
      <c r="AE77" t="s">
        <v>80</v>
      </c>
      <c r="AF77" t="s">
        <v>80</v>
      </c>
      <c r="AG77" t="s">
        <v>80</v>
      </c>
      <c r="AH77" t="s">
        <v>80</v>
      </c>
      <c r="AI77" t="s">
        <v>80</v>
      </c>
      <c r="AJ77" t="s">
        <v>80</v>
      </c>
      <c r="AK77" t="s">
        <v>80</v>
      </c>
      <c r="AL77" t="s">
        <v>80</v>
      </c>
      <c r="AM77" t="s">
        <v>80</v>
      </c>
      <c r="AN77" t="s">
        <v>80</v>
      </c>
      <c r="AO77" t="s">
        <v>80</v>
      </c>
      <c r="AP77" t="s">
        <v>77</v>
      </c>
      <c r="AR77" t="s">
        <v>627</v>
      </c>
      <c r="AS77" t="s">
        <v>79</v>
      </c>
      <c r="AT77" t="s">
        <v>79</v>
      </c>
      <c r="AU77" t="s">
        <v>79</v>
      </c>
      <c r="AV77" t="s">
        <v>91</v>
      </c>
      <c r="AW77" t="s">
        <v>80</v>
      </c>
      <c r="AX77" t="s">
        <v>80</v>
      </c>
      <c r="AY77" t="s">
        <v>80</v>
      </c>
      <c r="AZ77" t="s">
        <v>80</v>
      </c>
      <c r="BA77" t="s">
        <v>80</v>
      </c>
      <c r="BB77" t="s">
        <v>80</v>
      </c>
      <c r="BC77" t="s">
        <v>80</v>
      </c>
      <c r="BD77" t="s">
        <v>80</v>
      </c>
      <c r="BE77" t="s">
        <v>80</v>
      </c>
      <c r="BF77" t="s">
        <v>80</v>
      </c>
      <c r="BG77" t="s">
        <v>80</v>
      </c>
      <c r="BH77" t="s">
        <v>82</v>
      </c>
      <c r="BI77" t="s">
        <v>623</v>
      </c>
      <c r="BJ77">
        <f t="shared" si="19"/>
        <v>4</v>
      </c>
      <c r="BK77">
        <f>COUNTIF(AS77:BG77, "Correct") + COUNTIF(AS77:BG77, "Incorrect")</f>
        <v>4</v>
      </c>
      <c r="BL77">
        <v>4</v>
      </c>
      <c r="BM77">
        <v>4</v>
      </c>
      <c r="BN77" t="b">
        <f t="shared" si="20"/>
        <v>1</v>
      </c>
      <c r="BO77" t="b">
        <f t="shared" si="21"/>
        <v>1</v>
      </c>
      <c r="BP77" t="b">
        <f t="shared" si="22"/>
        <v>0</v>
      </c>
      <c r="BQ77" t="b">
        <v>0</v>
      </c>
      <c r="BR77">
        <f t="shared" si="23"/>
        <v>0.5</v>
      </c>
      <c r="BS77">
        <f t="shared" si="24"/>
        <v>0.75</v>
      </c>
    </row>
    <row r="78" spans="1:71" ht="20" customHeight="1" x14ac:dyDescent="0.2">
      <c r="A78" t="s">
        <v>629</v>
      </c>
      <c r="B78" s="1">
        <v>45791.160057870373</v>
      </c>
      <c r="C78" s="1">
        <v>45791.173981481479</v>
      </c>
      <c r="D78" t="s">
        <v>68</v>
      </c>
      <c r="E78" t="s">
        <v>628</v>
      </c>
      <c r="F78">
        <v>100</v>
      </c>
      <c r="G78">
        <v>1202</v>
      </c>
      <c r="H78" t="b">
        <v>1</v>
      </c>
      <c r="I78" s="1">
        <v>45791.173981481479</v>
      </c>
      <c r="J78" t="s">
        <v>629</v>
      </c>
      <c r="O78">
        <v>52.067500000000003</v>
      </c>
      <c r="P78">
        <v>-0.75690000000000002</v>
      </c>
      <c r="Q78" t="s">
        <v>71</v>
      </c>
      <c r="R78" t="s">
        <v>72</v>
      </c>
      <c r="S78" t="s">
        <v>630</v>
      </c>
      <c r="T78" t="s">
        <v>631</v>
      </c>
      <c r="U78" t="s">
        <v>379</v>
      </c>
      <c r="V78" t="s">
        <v>76</v>
      </c>
      <c r="W78" t="s">
        <v>632</v>
      </c>
      <c r="X78" t="s">
        <v>77</v>
      </c>
      <c r="Z78" t="s">
        <v>633</v>
      </c>
      <c r="AA78" t="s">
        <v>79</v>
      </c>
      <c r="AB78" t="s">
        <v>79</v>
      </c>
      <c r="AC78" t="s">
        <v>91</v>
      </c>
      <c r="AD78" t="s">
        <v>80</v>
      </c>
      <c r="AE78" t="s">
        <v>80</v>
      </c>
      <c r="AF78" t="s">
        <v>80</v>
      </c>
      <c r="AG78" t="s">
        <v>80</v>
      </c>
      <c r="AH78" t="s">
        <v>80</v>
      </c>
      <c r="AI78" t="s">
        <v>80</v>
      </c>
      <c r="AJ78" t="s">
        <v>80</v>
      </c>
      <c r="AK78" t="s">
        <v>80</v>
      </c>
      <c r="AL78" t="s">
        <v>80</v>
      </c>
      <c r="AM78" t="s">
        <v>80</v>
      </c>
      <c r="AN78" t="s">
        <v>80</v>
      </c>
      <c r="AO78" t="s">
        <v>80</v>
      </c>
      <c r="AP78" t="s">
        <v>77</v>
      </c>
      <c r="AR78" t="s">
        <v>634</v>
      </c>
      <c r="AS78" t="s">
        <v>79</v>
      </c>
      <c r="AT78" t="s">
        <v>79</v>
      </c>
      <c r="AU78" t="s">
        <v>79</v>
      </c>
      <c r="AV78" t="s">
        <v>80</v>
      </c>
      <c r="AW78" t="s">
        <v>80</v>
      </c>
      <c r="AX78" t="s">
        <v>80</v>
      </c>
      <c r="AY78" t="s">
        <v>80</v>
      </c>
      <c r="AZ78" t="s">
        <v>80</v>
      </c>
      <c r="BA78" t="s">
        <v>80</v>
      </c>
      <c r="BB78" t="s">
        <v>80</v>
      </c>
      <c r="BC78" t="s">
        <v>80</v>
      </c>
      <c r="BD78" t="s">
        <v>80</v>
      </c>
      <c r="BE78" t="s">
        <v>80</v>
      </c>
      <c r="BF78" t="s">
        <v>80</v>
      </c>
      <c r="BG78" t="s">
        <v>80</v>
      </c>
      <c r="BH78" t="s">
        <v>82</v>
      </c>
      <c r="BI78" t="s">
        <v>630</v>
      </c>
      <c r="BJ78">
        <f t="shared" si="19"/>
        <v>3</v>
      </c>
      <c r="BK78">
        <f>COUNTIF(AS78:BG78, "Correct") + COUNTIF(AS78:BG78, "Incorrect")</f>
        <v>3</v>
      </c>
      <c r="BL78">
        <v>3</v>
      </c>
      <c r="BM78">
        <v>3</v>
      </c>
      <c r="BN78" t="b">
        <f t="shared" si="20"/>
        <v>1</v>
      </c>
      <c r="BO78" t="b">
        <f t="shared" si="21"/>
        <v>1</v>
      </c>
      <c r="BP78" t="b">
        <f t="shared" si="22"/>
        <v>0</v>
      </c>
      <c r="BQ78" t="b">
        <v>0</v>
      </c>
      <c r="BR78">
        <f t="shared" si="23"/>
        <v>0.66666666666666663</v>
      </c>
      <c r="BS78">
        <f t="shared" si="24"/>
        <v>1</v>
      </c>
    </row>
    <row r="79" spans="1:71" ht="20" customHeight="1" x14ac:dyDescent="0.2">
      <c r="A79" t="s">
        <v>636</v>
      </c>
      <c r="B79" s="1">
        <v>45791.451041666667</v>
      </c>
      <c r="C79" s="1">
        <v>45791.459305555552</v>
      </c>
      <c r="D79" t="s">
        <v>68</v>
      </c>
      <c r="E79" t="s">
        <v>635</v>
      </c>
      <c r="F79">
        <v>100</v>
      </c>
      <c r="G79">
        <v>714</v>
      </c>
      <c r="H79" t="b">
        <v>1</v>
      </c>
      <c r="I79" s="1">
        <v>45791.459317129629</v>
      </c>
      <c r="J79" t="s">
        <v>636</v>
      </c>
      <c r="O79">
        <v>43.866</v>
      </c>
      <c r="P79">
        <v>-79.266000000000005</v>
      </c>
      <c r="Q79" t="s">
        <v>71</v>
      </c>
      <c r="R79" t="s">
        <v>72</v>
      </c>
      <c r="S79" t="s">
        <v>164</v>
      </c>
      <c r="T79" t="s">
        <v>637</v>
      </c>
      <c r="U79" t="s">
        <v>638</v>
      </c>
      <c r="V79" t="s">
        <v>76</v>
      </c>
      <c r="X79" t="s">
        <v>77</v>
      </c>
      <c r="Z79" t="s">
        <v>639</v>
      </c>
      <c r="AA79" t="s">
        <v>91</v>
      </c>
      <c r="AB79" t="s">
        <v>79</v>
      </c>
      <c r="AC79" t="s">
        <v>79</v>
      </c>
      <c r="AD79" t="s">
        <v>79</v>
      </c>
      <c r="AE79" t="s">
        <v>80</v>
      </c>
      <c r="AF79" t="s">
        <v>80</v>
      </c>
      <c r="AG79" t="s">
        <v>80</v>
      </c>
      <c r="AH79" t="s">
        <v>80</v>
      </c>
      <c r="AI79" t="s">
        <v>80</v>
      </c>
      <c r="AJ79" t="s">
        <v>80</v>
      </c>
      <c r="AK79" t="s">
        <v>80</v>
      </c>
      <c r="AL79" t="s">
        <v>80</v>
      </c>
      <c r="AM79" t="s">
        <v>80</v>
      </c>
      <c r="AN79" t="s">
        <v>80</v>
      </c>
      <c r="AO79" t="s">
        <v>80</v>
      </c>
      <c r="AP79" t="s">
        <v>77</v>
      </c>
      <c r="AR79" t="s">
        <v>640</v>
      </c>
      <c r="AS79" t="s">
        <v>79</v>
      </c>
      <c r="AT79" t="s">
        <v>79</v>
      </c>
      <c r="AU79" t="s">
        <v>79</v>
      </c>
      <c r="AV79" t="s">
        <v>91</v>
      </c>
      <c r="AW79" t="s">
        <v>80</v>
      </c>
      <c r="AX79" t="s">
        <v>80</v>
      </c>
      <c r="AY79" t="s">
        <v>80</v>
      </c>
      <c r="AZ79" t="s">
        <v>80</v>
      </c>
      <c r="BA79" t="s">
        <v>80</v>
      </c>
      <c r="BB79" t="s">
        <v>80</v>
      </c>
      <c r="BC79" t="s">
        <v>80</v>
      </c>
      <c r="BD79" t="s">
        <v>80</v>
      </c>
      <c r="BE79" t="s">
        <v>80</v>
      </c>
      <c r="BF79" t="s">
        <v>80</v>
      </c>
      <c r="BG79" t="s">
        <v>80</v>
      </c>
      <c r="BH79" t="s">
        <v>92</v>
      </c>
      <c r="BI79" t="s">
        <v>164</v>
      </c>
      <c r="BJ79">
        <f t="shared" si="19"/>
        <v>4</v>
      </c>
      <c r="BK79">
        <f>COUNTIF(AS79:BG79, "Correct") + COUNTIF(AS79:BG79, "Incorrect")</f>
        <v>4</v>
      </c>
      <c r="BL79">
        <v>4</v>
      </c>
      <c r="BM79">
        <v>4</v>
      </c>
      <c r="BN79" t="b">
        <f t="shared" si="20"/>
        <v>1</v>
      </c>
      <c r="BO79" t="b">
        <f t="shared" si="21"/>
        <v>1</v>
      </c>
      <c r="BP79" t="b">
        <f t="shared" si="22"/>
        <v>0</v>
      </c>
      <c r="BQ79" t="b">
        <v>0</v>
      </c>
      <c r="BR79">
        <f t="shared" si="23"/>
        <v>0.75</v>
      </c>
      <c r="BS79">
        <f t="shared" si="24"/>
        <v>0.75</v>
      </c>
    </row>
    <row r="80" spans="1:71" ht="20" customHeight="1" x14ac:dyDescent="0.2">
      <c r="A80" t="s">
        <v>641</v>
      </c>
      <c r="B80" s="1">
        <v>45791.465266203704</v>
      </c>
      <c r="C80" s="1">
        <v>45791.474398148152</v>
      </c>
      <c r="D80" t="s">
        <v>68</v>
      </c>
      <c r="E80" t="s">
        <v>635</v>
      </c>
      <c r="F80">
        <v>100</v>
      </c>
      <c r="G80">
        <v>789</v>
      </c>
      <c r="H80" t="b">
        <v>1</v>
      </c>
      <c r="I80" s="1">
        <v>45791.474409722221</v>
      </c>
      <c r="J80" t="s">
        <v>641</v>
      </c>
      <c r="O80">
        <v>43.866</v>
      </c>
      <c r="P80">
        <v>-79.266000000000005</v>
      </c>
      <c r="Q80" t="s">
        <v>71</v>
      </c>
      <c r="R80" t="s">
        <v>72</v>
      </c>
      <c r="S80" t="s">
        <v>164</v>
      </c>
      <c r="T80" t="s">
        <v>642</v>
      </c>
      <c r="U80" t="s">
        <v>643</v>
      </c>
      <c r="V80" t="s">
        <v>76</v>
      </c>
      <c r="X80" t="s">
        <v>77</v>
      </c>
      <c r="Z80" t="s">
        <v>644</v>
      </c>
      <c r="AA80" t="s">
        <v>91</v>
      </c>
      <c r="AB80" t="s">
        <v>80</v>
      </c>
      <c r="AC80" t="s">
        <v>80</v>
      </c>
      <c r="AD80" t="s">
        <v>80</v>
      </c>
      <c r="AE80" t="s">
        <v>80</v>
      </c>
      <c r="AF80" t="s">
        <v>80</v>
      </c>
      <c r="AG80" t="s">
        <v>80</v>
      </c>
      <c r="AH80" t="s">
        <v>80</v>
      </c>
      <c r="AI80" t="s">
        <v>80</v>
      </c>
      <c r="AJ80" t="s">
        <v>80</v>
      </c>
      <c r="AK80" t="s">
        <v>80</v>
      </c>
      <c r="AL80" t="s">
        <v>80</v>
      </c>
      <c r="AM80" t="s">
        <v>80</v>
      </c>
      <c r="AN80" t="s">
        <v>80</v>
      </c>
      <c r="AO80" t="s">
        <v>80</v>
      </c>
      <c r="AP80" t="s">
        <v>77</v>
      </c>
      <c r="AR80" t="s">
        <v>645</v>
      </c>
      <c r="AS80" t="s">
        <v>79</v>
      </c>
      <c r="AT80" t="s">
        <v>79</v>
      </c>
      <c r="AU80" t="s">
        <v>79</v>
      </c>
      <c r="AV80" t="s">
        <v>79</v>
      </c>
      <c r="AW80" t="s">
        <v>79</v>
      </c>
      <c r="AX80" t="s">
        <v>79</v>
      </c>
      <c r="AY80" t="s">
        <v>79</v>
      </c>
      <c r="AZ80" t="s">
        <v>79</v>
      </c>
      <c r="BA80" t="s">
        <v>79</v>
      </c>
      <c r="BB80" t="s">
        <v>79</v>
      </c>
      <c r="BC80" t="s">
        <v>79</v>
      </c>
      <c r="BD80" t="s">
        <v>79</v>
      </c>
      <c r="BE80" t="s">
        <v>79</v>
      </c>
      <c r="BF80" t="s">
        <v>79</v>
      </c>
      <c r="BG80" t="s">
        <v>91</v>
      </c>
      <c r="BH80" t="s">
        <v>82</v>
      </c>
      <c r="BI80" t="s">
        <v>164</v>
      </c>
      <c r="BJ80">
        <f t="shared" si="19"/>
        <v>1</v>
      </c>
      <c r="BK80">
        <f t="shared" ref="BK80:BK82" si="28">COUNTIF(AS80:BG80, "Correct") + COUNTIF(AS80:BG80, "Incorrect")</f>
        <v>15</v>
      </c>
      <c r="BL80">
        <v>1</v>
      </c>
      <c r="BM80">
        <v>15</v>
      </c>
      <c r="BN80" t="b">
        <f t="shared" si="20"/>
        <v>1</v>
      </c>
      <c r="BO80" t="b">
        <f t="shared" si="21"/>
        <v>1</v>
      </c>
      <c r="BP80" t="b">
        <f t="shared" si="22"/>
        <v>0</v>
      </c>
      <c r="BQ80" t="b">
        <v>0</v>
      </c>
      <c r="BR80">
        <f t="shared" si="23"/>
        <v>0</v>
      </c>
      <c r="BS80">
        <f t="shared" si="24"/>
        <v>0.93333333333333335</v>
      </c>
    </row>
    <row r="81" spans="1:71" ht="20" customHeight="1" x14ac:dyDescent="0.2">
      <c r="A81" t="s">
        <v>646</v>
      </c>
      <c r="B81" s="1">
        <v>45791.49858796296</v>
      </c>
      <c r="C81" s="1">
        <v>45791.515636574077</v>
      </c>
      <c r="D81" t="s">
        <v>68</v>
      </c>
      <c r="E81" t="s">
        <v>628</v>
      </c>
      <c r="F81">
        <v>100</v>
      </c>
      <c r="G81">
        <v>1472</v>
      </c>
      <c r="H81" t="b">
        <v>1</v>
      </c>
      <c r="I81" s="1">
        <v>45791.515636574077</v>
      </c>
      <c r="J81" t="s">
        <v>646</v>
      </c>
      <c r="O81">
        <v>52.067500000000003</v>
      </c>
      <c r="P81">
        <v>-0.75690000000000002</v>
      </c>
      <c r="Q81" t="s">
        <v>71</v>
      </c>
      <c r="R81" t="s">
        <v>72</v>
      </c>
      <c r="S81" t="s">
        <v>630</v>
      </c>
      <c r="T81" t="s">
        <v>647</v>
      </c>
      <c r="U81" t="s">
        <v>648</v>
      </c>
      <c r="V81" t="s">
        <v>76</v>
      </c>
      <c r="X81" t="s">
        <v>77</v>
      </c>
      <c r="Z81" t="s">
        <v>649</v>
      </c>
      <c r="AA81" t="s">
        <v>91</v>
      </c>
      <c r="AB81" t="s">
        <v>80</v>
      </c>
      <c r="AC81" t="s">
        <v>80</v>
      </c>
      <c r="AD81" t="s">
        <v>80</v>
      </c>
      <c r="AE81" t="s">
        <v>80</v>
      </c>
      <c r="AF81" t="s">
        <v>80</v>
      </c>
      <c r="AG81" t="s">
        <v>80</v>
      </c>
      <c r="AH81" t="s">
        <v>80</v>
      </c>
      <c r="AI81" t="s">
        <v>80</v>
      </c>
      <c r="AJ81" t="s">
        <v>80</v>
      </c>
      <c r="AK81" t="s">
        <v>80</v>
      </c>
      <c r="AL81" t="s">
        <v>80</v>
      </c>
      <c r="AM81" t="s">
        <v>80</v>
      </c>
      <c r="AN81" t="s">
        <v>80</v>
      </c>
      <c r="AO81" t="s">
        <v>80</v>
      </c>
      <c r="AP81" t="s">
        <v>77</v>
      </c>
      <c r="AR81" t="s">
        <v>650</v>
      </c>
      <c r="AS81" t="s">
        <v>79</v>
      </c>
      <c r="AT81" t="s">
        <v>79</v>
      </c>
      <c r="AU81" t="s">
        <v>91</v>
      </c>
      <c r="AV81" t="s">
        <v>91</v>
      </c>
      <c r="AW81" t="s">
        <v>91</v>
      </c>
      <c r="AX81" t="s">
        <v>91</v>
      </c>
      <c r="AY81" t="s">
        <v>91</v>
      </c>
      <c r="AZ81" t="s">
        <v>91</v>
      </c>
      <c r="BA81" t="s">
        <v>80</v>
      </c>
      <c r="BB81" t="s">
        <v>80</v>
      </c>
      <c r="BC81" t="s">
        <v>80</v>
      </c>
      <c r="BD81" t="s">
        <v>80</v>
      </c>
      <c r="BE81" t="s">
        <v>80</v>
      </c>
      <c r="BF81" t="s">
        <v>80</v>
      </c>
      <c r="BG81" t="s">
        <v>80</v>
      </c>
      <c r="BH81" t="s">
        <v>651</v>
      </c>
      <c r="BI81" t="s">
        <v>630</v>
      </c>
      <c r="BJ81">
        <f t="shared" si="19"/>
        <v>1</v>
      </c>
      <c r="BK81">
        <f t="shared" si="28"/>
        <v>8</v>
      </c>
      <c r="BL81">
        <v>1</v>
      </c>
      <c r="BM81">
        <v>8</v>
      </c>
      <c r="BN81" t="b">
        <f t="shared" si="20"/>
        <v>1</v>
      </c>
      <c r="BO81" t="b">
        <f t="shared" si="21"/>
        <v>1</v>
      </c>
      <c r="BP81" t="b">
        <f t="shared" si="22"/>
        <v>0</v>
      </c>
      <c r="BQ81" t="b">
        <v>0</v>
      </c>
      <c r="BR81">
        <f t="shared" si="23"/>
        <v>0</v>
      </c>
      <c r="BS81">
        <f t="shared" si="24"/>
        <v>0.25</v>
      </c>
    </row>
    <row r="82" spans="1:71" ht="20" customHeight="1" x14ac:dyDescent="0.2">
      <c r="A82" t="s">
        <v>653</v>
      </c>
      <c r="B82" s="1">
        <v>45791.497581018521</v>
      </c>
      <c r="C82" s="1">
        <v>45791.51662037037</v>
      </c>
      <c r="D82" t="s">
        <v>68</v>
      </c>
      <c r="E82" t="s">
        <v>652</v>
      </c>
      <c r="F82">
        <v>100</v>
      </c>
      <c r="G82">
        <v>1644</v>
      </c>
      <c r="H82" t="b">
        <v>1</v>
      </c>
      <c r="I82" s="1">
        <v>45791.51662037037</v>
      </c>
      <c r="J82" t="s">
        <v>653</v>
      </c>
      <c r="O82">
        <v>51.3904</v>
      </c>
      <c r="P82">
        <v>-9.9199999999999997E-2</v>
      </c>
      <c r="Q82" t="s">
        <v>71</v>
      </c>
      <c r="R82" t="s">
        <v>72</v>
      </c>
      <c r="S82" t="s">
        <v>654</v>
      </c>
      <c r="T82" t="s">
        <v>655</v>
      </c>
      <c r="U82" t="s">
        <v>656</v>
      </c>
      <c r="V82" t="s">
        <v>76</v>
      </c>
      <c r="W82" t="s">
        <v>657</v>
      </c>
      <c r="X82" t="s">
        <v>77</v>
      </c>
      <c r="Z82" t="s">
        <v>658</v>
      </c>
      <c r="AA82" t="s">
        <v>79</v>
      </c>
      <c r="AB82" t="s">
        <v>79</v>
      </c>
      <c r="AC82" t="s">
        <v>79</v>
      </c>
      <c r="AD82" t="s">
        <v>79</v>
      </c>
      <c r="AE82" t="s">
        <v>79</v>
      </c>
      <c r="AF82" t="s">
        <v>79</v>
      </c>
      <c r="AG82" t="s">
        <v>79</v>
      </c>
      <c r="AH82" t="s">
        <v>79</v>
      </c>
      <c r="AI82" t="s">
        <v>79</v>
      </c>
      <c r="AJ82" t="s">
        <v>79</v>
      </c>
      <c r="AK82" t="s">
        <v>80</v>
      </c>
      <c r="AL82" t="s">
        <v>80</v>
      </c>
      <c r="AM82" t="s">
        <v>80</v>
      </c>
      <c r="AN82" t="s">
        <v>80</v>
      </c>
      <c r="AO82" t="s">
        <v>80</v>
      </c>
      <c r="AP82" t="s">
        <v>77</v>
      </c>
      <c r="AR82" t="s">
        <v>659</v>
      </c>
      <c r="AS82" t="s">
        <v>79</v>
      </c>
      <c r="AT82" t="s">
        <v>79</v>
      </c>
      <c r="AU82" t="s">
        <v>79</v>
      </c>
      <c r="AV82" t="s">
        <v>79</v>
      </c>
      <c r="AW82" t="s">
        <v>79</v>
      </c>
      <c r="AX82" t="s">
        <v>79</v>
      </c>
      <c r="AY82" t="s">
        <v>79</v>
      </c>
      <c r="AZ82" t="s">
        <v>79</v>
      </c>
      <c r="BA82" t="s">
        <v>80</v>
      </c>
      <c r="BB82" t="s">
        <v>80</v>
      </c>
      <c r="BC82" t="s">
        <v>80</v>
      </c>
      <c r="BD82" t="s">
        <v>80</v>
      </c>
      <c r="BE82" t="s">
        <v>80</v>
      </c>
      <c r="BF82" t="s">
        <v>80</v>
      </c>
      <c r="BG82" t="s">
        <v>80</v>
      </c>
      <c r="BH82" t="s">
        <v>82</v>
      </c>
      <c r="BI82" t="s">
        <v>654</v>
      </c>
      <c r="BJ82">
        <f t="shared" si="19"/>
        <v>10</v>
      </c>
      <c r="BK82">
        <f t="shared" si="28"/>
        <v>8</v>
      </c>
      <c r="BL82">
        <v>10</v>
      </c>
      <c r="BM82">
        <v>8</v>
      </c>
      <c r="BN82" t="b">
        <f t="shared" si="20"/>
        <v>1</v>
      </c>
      <c r="BO82" t="b">
        <f t="shared" si="21"/>
        <v>1</v>
      </c>
      <c r="BP82" t="b">
        <f t="shared" si="22"/>
        <v>0</v>
      </c>
      <c r="BQ82" t="b">
        <v>0</v>
      </c>
      <c r="BR82">
        <f t="shared" si="23"/>
        <v>1</v>
      </c>
      <c r="BS82">
        <f t="shared" si="24"/>
        <v>1</v>
      </c>
    </row>
    <row r="83" spans="1:71" ht="20" customHeight="1" x14ac:dyDescent="0.2">
      <c r="A83" t="s">
        <v>661</v>
      </c>
      <c r="B83" s="1">
        <v>45791.49422453704</v>
      </c>
      <c r="C83" s="1">
        <v>45791.516898148147</v>
      </c>
      <c r="D83" t="s">
        <v>68</v>
      </c>
      <c r="E83" t="s">
        <v>660</v>
      </c>
      <c r="F83">
        <v>100</v>
      </c>
      <c r="G83">
        <v>1958</v>
      </c>
      <c r="H83" t="b">
        <v>1</v>
      </c>
      <c r="I83" s="1">
        <v>45791.516898148147</v>
      </c>
      <c r="J83" t="s">
        <v>661</v>
      </c>
      <c r="O83">
        <v>52.582599999999999</v>
      </c>
      <c r="P83">
        <v>1.7205999999999999</v>
      </c>
      <c r="Q83" t="s">
        <v>71</v>
      </c>
      <c r="R83" t="s">
        <v>72</v>
      </c>
      <c r="S83" t="s">
        <v>662</v>
      </c>
      <c r="T83" t="s">
        <v>663</v>
      </c>
      <c r="U83" t="s">
        <v>664</v>
      </c>
      <c r="V83" t="s">
        <v>76</v>
      </c>
      <c r="X83" t="s">
        <v>77</v>
      </c>
      <c r="Z83" t="s">
        <v>665</v>
      </c>
      <c r="AA83" t="s">
        <v>79</v>
      </c>
      <c r="AB83" t="s">
        <v>79</v>
      </c>
      <c r="AC83" t="s">
        <v>79</v>
      </c>
      <c r="AD83" t="s">
        <v>79</v>
      </c>
      <c r="AE83" t="s">
        <v>91</v>
      </c>
      <c r="AF83" t="s">
        <v>79</v>
      </c>
      <c r="AG83" t="s">
        <v>79</v>
      </c>
      <c r="AH83" t="s">
        <v>79</v>
      </c>
      <c r="AI83" t="s">
        <v>79</v>
      </c>
      <c r="AJ83" t="s">
        <v>79</v>
      </c>
      <c r="AK83" t="s">
        <v>91</v>
      </c>
      <c r="AL83" t="s">
        <v>80</v>
      </c>
      <c r="AM83" t="s">
        <v>80</v>
      </c>
      <c r="AN83" t="s">
        <v>80</v>
      </c>
      <c r="AO83" t="s">
        <v>80</v>
      </c>
      <c r="AP83" t="s">
        <v>77</v>
      </c>
      <c r="AR83" t="s">
        <v>666</v>
      </c>
      <c r="AS83" t="s">
        <v>79</v>
      </c>
      <c r="AT83" t="s">
        <v>79</v>
      </c>
      <c r="AU83" t="s">
        <v>91</v>
      </c>
      <c r="AV83" t="s">
        <v>91</v>
      </c>
      <c r="AW83" t="s">
        <v>91</v>
      </c>
      <c r="AX83" t="s">
        <v>91</v>
      </c>
      <c r="AY83" t="s">
        <v>91</v>
      </c>
      <c r="AZ83" t="s">
        <v>91</v>
      </c>
      <c r="BA83" t="s">
        <v>91</v>
      </c>
      <c r="BB83" t="s">
        <v>91</v>
      </c>
      <c r="BC83" t="s">
        <v>91</v>
      </c>
      <c r="BD83" t="s">
        <v>91</v>
      </c>
      <c r="BE83" t="s">
        <v>80</v>
      </c>
      <c r="BF83" t="s">
        <v>80</v>
      </c>
      <c r="BG83" t="s">
        <v>80</v>
      </c>
      <c r="BH83" t="s">
        <v>667</v>
      </c>
      <c r="BI83" t="s">
        <v>662</v>
      </c>
      <c r="BJ83">
        <f t="shared" si="19"/>
        <v>11</v>
      </c>
      <c r="BK83">
        <f>COUNTIF(AS83:BG83, "Correct") + COUNTIF(AS83:BG83, "Incorrect")</f>
        <v>12</v>
      </c>
      <c r="BL83">
        <v>11</v>
      </c>
      <c r="BM83">
        <v>12</v>
      </c>
      <c r="BN83" t="b">
        <f t="shared" si="20"/>
        <v>1</v>
      </c>
      <c r="BO83" t="b">
        <f t="shared" si="21"/>
        <v>1</v>
      </c>
      <c r="BP83" t="b">
        <f t="shared" si="22"/>
        <v>0</v>
      </c>
      <c r="BQ83" t="b">
        <v>0</v>
      </c>
      <c r="BR83">
        <f t="shared" si="23"/>
        <v>0.81818181818181823</v>
      </c>
      <c r="BS83">
        <f t="shared" si="24"/>
        <v>0.16666666666666666</v>
      </c>
    </row>
    <row r="84" spans="1:71" ht="20" customHeight="1" x14ac:dyDescent="0.2">
      <c r="A84" t="s">
        <v>668</v>
      </c>
      <c r="B84" s="1">
        <v>45791.540763888886</v>
      </c>
      <c r="C84" s="1">
        <v>45791.575624999998</v>
      </c>
      <c r="D84" t="s">
        <v>68</v>
      </c>
      <c r="E84" t="s">
        <v>448</v>
      </c>
      <c r="F84">
        <v>100</v>
      </c>
      <c r="G84">
        <v>3011</v>
      </c>
      <c r="H84" t="b">
        <v>1</v>
      </c>
      <c r="I84" s="1">
        <v>45791.575636574074</v>
      </c>
      <c r="J84" t="s">
        <v>668</v>
      </c>
      <c r="O84">
        <v>-27.441700000000001</v>
      </c>
      <c r="P84">
        <v>153.0197</v>
      </c>
      <c r="Q84" t="s">
        <v>71</v>
      </c>
      <c r="R84" t="s">
        <v>72</v>
      </c>
      <c r="S84" t="s">
        <v>450</v>
      </c>
      <c r="T84" t="s">
        <v>669</v>
      </c>
      <c r="U84" t="s">
        <v>670</v>
      </c>
      <c r="V84" t="s">
        <v>76</v>
      </c>
      <c r="W84" t="s">
        <v>671</v>
      </c>
      <c r="X84" t="s">
        <v>77</v>
      </c>
      <c r="Z84" t="s">
        <v>672</v>
      </c>
      <c r="AA84" t="s">
        <v>79</v>
      </c>
      <c r="AB84" t="s">
        <v>79</v>
      </c>
      <c r="AC84" t="s">
        <v>79</v>
      </c>
      <c r="AD84" t="s">
        <v>91</v>
      </c>
      <c r="AE84" t="s">
        <v>80</v>
      </c>
      <c r="AF84" t="s">
        <v>80</v>
      </c>
      <c r="AG84" t="s">
        <v>80</v>
      </c>
      <c r="AH84" t="s">
        <v>80</v>
      </c>
      <c r="AI84" t="s">
        <v>80</v>
      </c>
      <c r="AJ84" t="s">
        <v>80</v>
      </c>
      <c r="AK84" t="s">
        <v>80</v>
      </c>
      <c r="AL84" t="s">
        <v>80</v>
      </c>
      <c r="AM84" t="s">
        <v>80</v>
      </c>
      <c r="AN84" t="s">
        <v>80</v>
      </c>
      <c r="AO84" t="s">
        <v>80</v>
      </c>
      <c r="AP84" t="s">
        <v>77</v>
      </c>
      <c r="AR84" t="s">
        <v>673</v>
      </c>
      <c r="AS84" t="s">
        <v>79</v>
      </c>
      <c r="AT84" t="s">
        <v>91</v>
      </c>
      <c r="AU84" t="s">
        <v>91</v>
      </c>
      <c r="AV84" t="s">
        <v>79</v>
      </c>
      <c r="AW84" t="s">
        <v>79</v>
      </c>
      <c r="AX84" t="s">
        <v>79</v>
      </c>
      <c r="AY84" t="s">
        <v>91</v>
      </c>
      <c r="AZ84" t="s">
        <v>79</v>
      </c>
      <c r="BA84" t="s">
        <v>91</v>
      </c>
      <c r="BB84" t="s">
        <v>91</v>
      </c>
      <c r="BC84" t="s">
        <v>79</v>
      </c>
      <c r="BD84" t="s">
        <v>79</v>
      </c>
      <c r="BE84" t="s">
        <v>80</v>
      </c>
      <c r="BF84" t="s">
        <v>80</v>
      </c>
      <c r="BG84" t="s">
        <v>80</v>
      </c>
      <c r="BH84" t="s">
        <v>82</v>
      </c>
      <c r="BI84" t="s">
        <v>450</v>
      </c>
      <c r="BJ84">
        <f t="shared" si="19"/>
        <v>4</v>
      </c>
      <c r="BK84">
        <f>COUNTIF(AS84:BG84, "Correct") + COUNTIF(AS84:BG84, "Incorrect")</f>
        <v>12</v>
      </c>
      <c r="BL84">
        <v>4</v>
      </c>
      <c r="BM84">
        <v>12</v>
      </c>
      <c r="BN84" t="b">
        <f t="shared" si="20"/>
        <v>1</v>
      </c>
      <c r="BO84" t="b">
        <f t="shared" si="21"/>
        <v>1</v>
      </c>
      <c r="BP84" t="b">
        <f t="shared" si="22"/>
        <v>0</v>
      </c>
      <c r="BQ84" t="b">
        <v>0</v>
      </c>
      <c r="BR84">
        <f t="shared" si="23"/>
        <v>0.75</v>
      </c>
      <c r="BS84">
        <f t="shared" si="24"/>
        <v>0.58333333333333337</v>
      </c>
    </row>
    <row r="85" spans="1:71" ht="20" customHeight="1" x14ac:dyDescent="0.2">
      <c r="A85" t="s">
        <v>675</v>
      </c>
      <c r="B85" s="1">
        <v>45791.540520833332</v>
      </c>
      <c r="C85" s="1">
        <v>45791.577152777776</v>
      </c>
      <c r="D85" t="s">
        <v>68</v>
      </c>
      <c r="E85" t="s">
        <v>674</v>
      </c>
      <c r="F85">
        <v>100</v>
      </c>
      <c r="G85">
        <v>3164</v>
      </c>
      <c r="H85" t="b">
        <v>1</v>
      </c>
      <c r="I85" s="1">
        <v>45791.577164351853</v>
      </c>
      <c r="J85" t="s">
        <v>675</v>
      </c>
      <c r="O85">
        <v>32.660899999999998</v>
      </c>
      <c r="P85">
        <v>-97.034199999999998</v>
      </c>
      <c r="Q85" t="s">
        <v>71</v>
      </c>
      <c r="R85" t="s">
        <v>72</v>
      </c>
      <c r="S85" t="s">
        <v>676</v>
      </c>
      <c r="T85" t="s">
        <v>677</v>
      </c>
      <c r="U85" t="s">
        <v>678</v>
      </c>
      <c r="V85" t="s">
        <v>76</v>
      </c>
      <c r="W85" s="2" t="s">
        <v>679</v>
      </c>
      <c r="X85" t="s">
        <v>77</v>
      </c>
      <c r="Z85" t="s">
        <v>680</v>
      </c>
      <c r="AA85" t="s">
        <v>91</v>
      </c>
      <c r="AB85" t="s">
        <v>80</v>
      </c>
      <c r="AC85" t="s">
        <v>80</v>
      </c>
      <c r="AD85" t="s">
        <v>80</v>
      </c>
      <c r="AE85" t="s">
        <v>80</v>
      </c>
      <c r="AF85" t="s">
        <v>80</v>
      </c>
      <c r="AG85" t="s">
        <v>80</v>
      </c>
      <c r="AH85" t="s">
        <v>80</v>
      </c>
      <c r="AI85" t="s">
        <v>80</v>
      </c>
      <c r="AJ85" t="s">
        <v>80</v>
      </c>
      <c r="AK85" t="s">
        <v>80</v>
      </c>
      <c r="AL85" t="s">
        <v>80</v>
      </c>
      <c r="AM85" t="s">
        <v>80</v>
      </c>
      <c r="AN85" t="s">
        <v>80</v>
      </c>
      <c r="AO85" t="s">
        <v>80</v>
      </c>
      <c r="AP85" t="s">
        <v>77</v>
      </c>
      <c r="AR85" t="s">
        <v>681</v>
      </c>
      <c r="AS85" t="s">
        <v>79</v>
      </c>
      <c r="AT85" t="s">
        <v>79</v>
      </c>
      <c r="AU85" t="s">
        <v>79</v>
      </c>
      <c r="AV85" t="s">
        <v>79</v>
      </c>
      <c r="AW85" t="s">
        <v>79</v>
      </c>
      <c r="AX85" t="s">
        <v>79</v>
      </c>
      <c r="AY85" t="s">
        <v>91</v>
      </c>
      <c r="AZ85" t="s">
        <v>80</v>
      </c>
      <c r="BA85" t="s">
        <v>80</v>
      </c>
      <c r="BB85" t="s">
        <v>80</v>
      </c>
      <c r="BC85" t="s">
        <v>80</v>
      </c>
      <c r="BD85" t="s">
        <v>80</v>
      </c>
      <c r="BE85" t="s">
        <v>80</v>
      </c>
      <c r="BF85" t="s">
        <v>80</v>
      </c>
      <c r="BG85" t="s">
        <v>80</v>
      </c>
      <c r="BH85" t="s">
        <v>82</v>
      </c>
      <c r="BI85" t="s">
        <v>676</v>
      </c>
      <c r="BJ85">
        <f t="shared" si="19"/>
        <v>1</v>
      </c>
      <c r="BK85">
        <f t="shared" ref="BK85:BK87" si="29">COUNTIF(AS85:BG85, "Correct") + COUNTIF(AS85:BG85, "Incorrect")</f>
        <v>7</v>
      </c>
      <c r="BL85">
        <v>1</v>
      </c>
      <c r="BM85">
        <v>7</v>
      </c>
      <c r="BN85" t="b">
        <f t="shared" si="20"/>
        <v>1</v>
      </c>
      <c r="BO85" t="b">
        <f t="shared" si="21"/>
        <v>1</v>
      </c>
      <c r="BP85" t="b">
        <f t="shared" si="22"/>
        <v>0</v>
      </c>
      <c r="BQ85" t="b">
        <v>0</v>
      </c>
      <c r="BR85">
        <f t="shared" si="23"/>
        <v>0</v>
      </c>
      <c r="BS85">
        <f t="shared" si="24"/>
        <v>0.8571428571428571</v>
      </c>
    </row>
    <row r="86" spans="1:71" ht="20" customHeight="1" x14ac:dyDescent="0.2">
      <c r="A86" t="s">
        <v>683</v>
      </c>
      <c r="B86" s="1">
        <v>45791.600243055553</v>
      </c>
      <c r="C86" s="1">
        <v>45791.611388888887</v>
      </c>
      <c r="D86" t="s">
        <v>68</v>
      </c>
      <c r="E86" t="s">
        <v>682</v>
      </c>
      <c r="F86">
        <v>100</v>
      </c>
      <c r="G86">
        <v>962</v>
      </c>
      <c r="H86" t="b">
        <v>1</v>
      </c>
      <c r="I86" s="1">
        <v>45791.611388888887</v>
      </c>
      <c r="J86" t="s">
        <v>683</v>
      </c>
      <c r="O86">
        <v>51.601700000000001</v>
      </c>
      <c r="P86">
        <v>-7.3200000000000001E-2</v>
      </c>
      <c r="Q86" t="s">
        <v>71</v>
      </c>
      <c r="R86" t="s">
        <v>72</v>
      </c>
      <c r="S86" t="s">
        <v>684</v>
      </c>
      <c r="T86" s="2" t="s">
        <v>685</v>
      </c>
      <c r="U86" t="s">
        <v>686</v>
      </c>
      <c r="V86" t="s">
        <v>76</v>
      </c>
      <c r="W86" t="s">
        <v>687</v>
      </c>
      <c r="X86" t="s">
        <v>77</v>
      </c>
      <c r="Z86" t="s">
        <v>688</v>
      </c>
      <c r="AA86" t="s">
        <v>805</v>
      </c>
      <c r="AB86" t="s">
        <v>80</v>
      </c>
      <c r="AC86" t="s">
        <v>80</v>
      </c>
      <c r="AD86" t="s">
        <v>80</v>
      </c>
      <c r="AE86" t="s">
        <v>80</v>
      </c>
      <c r="AF86" t="s">
        <v>80</v>
      </c>
      <c r="AG86" t="s">
        <v>80</v>
      </c>
      <c r="AH86" t="s">
        <v>80</v>
      </c>
      <c r="AI86" t="s">
        <v>80</v>
      </c>
      <c r="AJ86" t="s">
        <v>80</v>
      </c>
      <c r="AK86" t="s">
        <v>80</v>
      </c>
      <c r="AL86" t="s">
        <v>80</v>
      </c>
      <c r="AM86" t="s">
        <v>80</v>
      </c>
      <c r="AN86" t="s">
        <v>80</v>
      </c>
      <c r="AO86" t="s">
        <v>80</v>
      </c>
      <c r="AP86" t="s">
        <v>77</v>
      </c>
      <c r="AR86" t="s">
        <v>689</v>
      </c>
      <c r="AS86" t="s">
        <v>197</v>
      </c>
      <c r="AT86" t="s">
        <v>197</v>
      </c>
      <c r="AU86" t="s">
        <v>197</v>
      </c>
      <c r="AV86" t="s">
        <v>197</v>
      </c>
      <c r="AW86" t="s">
        <v>197</v>
      </c>
      <c r="AX86" t="s">
        <v>197</v>
      </c>
      <c r="AY86" t="s">
        <v>197</v>
      </c>
      <c r="AZ86" t="s">
        <v>476</v>
      </c>
      <c r="BA86" t="s">
        <v>80</v>
      </c>
      <c r="BB86" t="s">
        <v>80</v>
      </c>
      <c r="BC86" t="s">
        <v>80</v>
      </c>
      <c r="BD86" t="s">
        <v>80</v>
      </c>
      <c r="BE86" t="s">
        <v>80</v>
      </c>
      <c r="BF86" t="s">
        <v>80</v>
      </c>
      <c r="BG86" t="s">
        <v>80</v>
      </c>
      <c r="BH86" t="s">
        <v>690</v>
      </c>
      <c r="BI86" t="s">
        <v>684</v>
      </c>
      <c r="BJ86">
        <f t="shared" si="19"/>
        <v>1</v>
      </c>
      <c r="BK86">
        <f t="shared" si="29"/>
        <v>8</v>
      </c>
      <c r="BL86">
        <v>1</v>
      </c>
      <c r="BM86">
        <v>8</v>
      </c>
      <c r="BN86" t="b">
        <f t="shared" si="20"/>
        <v>1</v>
      </c>
      <c r="BO86" t="b">
        <f t="shared" si="21"/>
        <v>1</v>
      </c>
      <c r="BP86" t="b">
        <f t="shared" si="22"/>
        <v>0</v>
      </c>
      <c r="BQ86" t="b">
        <v>0</v>
      </c>
      <c r="BR86">
        <f t="shared" si="23"/>
        <v>0</v>
      </c>
      <c r="BS86">
        <f t="shared" si="24"/>
        <v>1</v>
      </c>
    </row>
    <row r="87" spans="1:71" ht="20" customHeight="1" x14ac:dyDescent="0.2">
      <c r="A87" t="s">
        <v>692</v>
      </c>
      <c r="B87" s="1">
        <v>45791.598391203705</v>
      </c>
      <c r="C87" s="1">
        <v>45791.619398148148</v>
      </c>
      <c r="D87" t="s">
        <v>68</v>
      </c>
      <c r="E87" t="s">
        <v>691</v>
      </c>
      <c r="F87">
        <v>100</v>
      </c>
      <c r="G87">
        <v>1814</v>
      </c>
      <c r="H87" t="b">
        <v>1</v>
      </c>
      <c r="I87" s="1">
        <v>45791.619398148148</v>
      </c>
      <c r="J87" t="s">
        <v>692</v>
      </c>
      <c r="O87">
        <v>47.610900000000001</v>
      </c>
      <c r="P87">
        <v>-122.33029999999999</v>
      </c>
      <c r="Q87" t="s">
        <v>71</v>
      </c>
      <c r="R87" t="s">
        <v>72</v>
      </c>
      <c r="S87" t="s">
        <v>693</v>
      </c>
      <c r="T87" t="s">
        <v>694</v>
      </c>
      <c r="U87" t="s">
        <v>695</v>
      </c>
      <c r="V87" t="s">
        <v>76</v>
      </c>
      <c r="W87" t="s">
        <v>696</v>
      </c>
      <c r="X87" t="s">
        <v>77</v>
      </c>
      <c r="Z87" t="s">
        <v>697</v>
      </c>
      <c r="AA87" t="s">
        <v>79</v>
      </c>
      <c r="AB87" t="s">
        <v>79</v>
      </c>
      <c r="AC87" t="s">
        <v>79</v>
      </c>
      <c r="AD87" t="s">
        <v>91</v>
      </c>
      <c r="AE87" t="s">
        <v>91</v>
      </c>
      <c r="AF87" t="s">
        <v>79</v>
      </c>
      <c r="AG87" t="s">
        <v>91</v>
      </c>
      <c r="AH87" t="s">
        <v>91</v>
      </c>
      <c r="AI87" t="s">
        <v>80</v>
      </c>
      <c r="AJ87" t="s">
        <v>80</v>
      </c>
      <c r="AK87" t="s">
        <v>80</v>
      </c>
      <c r="AL87" t="s">
        <v>80</v>
      </c>
      <c r="AM87" t="s">
        <v>80</v>
      </c>
      <c r="AN87" t="s">
        <v>80</v>
      </c>
      <c r="AO87" t="s">
        <v>80</v>
      </c>
      <c r="AP87" t="s">
        <v>77</v>
      </c>
      <c r="AR87" t="s">
        <v>698</v>
      </c>
      <c r="AS87" t="s">
        <v>91</v>
      </c>
      <c r="AT87" t="s">
        <v>80</v>
      </c>
      <c r="AU87" t="s">
        <v>80</v>
      </c>
      <c r="AV87" t="s">
        <v>80</v>
      </c>
      <c r="AW87" t="s">
        <v>80</v>
      </c>
      <c r="AX87" t="s">
        <v>80</v>
      </c>
      <c r="AY87" t="s">
        <v>80</v>
      </c>
      <c r="AZ87" t="s">
        <v>80</v>
      </c>
      <c r="BA87" t="s">
        <v>80</v>
      </c>
      <c r="BB87" t="s">
        <v>80</v>
      </c>
      <c r="BC87" t="s">
        <v>80</v>
      </c>
      <c r="BD87" t="s">
        <v>80</v>
      </c>
      <c r="BE87" t="s">
        <v>80</v>
      </c>
      <c r="BF87" t="s">
        <v>80</v>
      </c>
      <c r="BG87" t="s">
        <v>80</v>
      </c>
      <c r="BH87" t="s">
        <v>92</v>
      </c>
      <c r="BI87" t="s">
        <v>693</v>
      </c>
      <c r="BJ87">
        <f t="shared" si="19"/>
        <v>8</v>
      </c>
      <c r="BK87">
        <f t="shared" si="29"/>
        <v>1</v>
      </c>
      <c r="BL87">
        <v>8</v>
      </c>
      <c r="BM87">
        <v>1</v>
      </c>
      <c r="BN87" t="b">
        <f t="shared" si="20"/>
        <v>1</v>
      </c>
      <c r="BO87" t="b">
        <f t="shared" si="21"/>
        <v>1</v>
      </c>
      <c r="BP87" t="b">
        <f t="shared" si="22"/>
        <v>0</v>
      </c>
      <c r="BQ87" t="b">
        <v>0</v>
      </c>
      <c r="BR87">
        <f t="shared" si="23"/>
        <v>0.5</v>
      </c>
      <c r="BS87">
        <f t="shared" si="24"/>
        <v>0</v>
      </c>
    </row>
    <row r="88" spans="1:71" ht="20" customHeight="1" x14ac:dyDescent="0.2">
      <c r="A88" t="s">
        <v>699</v>
      </c>
      <c r="B88" s="1">
        <v>45791.602569444447</v>
      </c>
      <c r="C88" s="1">
        <v>45791.63925925926</v>
      </c>
      <c r="D88" t="s">
        <v>68</v>
      </c>
      <c r="E88" t="s">
        <v>282</v>
      </c>
      <c r="F88">
        <v>100</v>
      </c>
      <c r="G88">
        <v>3169</v>
      </c>
      <c r="H88" t="b">
        <v>1</v>
      </c>
      <c r="I88" s="1">
        <v>45791.63925925926</v>
      </c>
      <c r="J88" t="s">
        <v>699</v>
      </c>
      <c r="O88">
        <v>36.968899999999998</v>
      </c>
      <c r="P88">
        <v>-121.9903</v>
      </c>
      <c r="Q88" t="s">
        <v>71</v>
      </c>
      <c r="R88" t="s">
        <v>72</v>
      </c>
      <c r="S88" t="s">
        <v>284</v>
      </c>
      <c r="T88" t="s">
        <v>700</v>
      </c>
      <c r="U88" t="s">
        <v>701</v>
      </c>
      <c r="V88" t="s">
        <v>76</v>
      </c>
      <c r="X88" t="s">
        <v>77</v>
      </c>
      <c r="Z88" t="s">
        <v>702</v>
      </c>
      <c r="AA88" t="s">
        <v>79</v>
      </c>
      <c r="AB88" t="s">
        <v>79</v>
      </c>
      <c r="AC88" t="s">
        <v>79</v>
      </c>
      <c r="AD88" t="s">
        <v>79</v>
      </c>
      <c r="AE88" t="s">
        <v>79</v>
      </c>
      <c r="AF88" t="s">
        <v>79</v>
      </c>
      <c r="AG88" t="s">
        <v>91</v>
      </c>
      <c r="AH88" t="s">
        <v>91</v>
      </c>
      <c r="AI88" t="s">
        <v>79</v>
      </c>
      <c r="AJ88" t="s">
        <v>91</v>
      </c>
      <c r="AK88" t="s">
        <v>91</v>
      </c>
      <c r="AL88" t="s">
        <v>80</v>
      </c>
      <c r="AM88" t="s">
        <v>80</v>
      </c>
      <c r="AN88" t="s">
        <v>80</v>
      </c>
      <c r="AO88" t="s">
        <v>80</v>
      </c>
      <c r="AP88" t="s">
        <v>77</v>
      </c>
      <c r="AR88" t="s">
        <v>703</v>
      </c>
      <c r="AS88" t="s">
        <v>79</v>
      </c>
      <c r="AT88" t="s">
        <v>79</v>
      </c>
      <c r="AU88" t="s">
        <v>79</v>
      </c>
      <c r="AV88" t="s">
        <v>79</v>
      </c>
      <c r="AW88" t="s">
        <v>80</v>
      </c>
      <c r="AX88" t="s">
        <v>80</v>
      </c>
      <c r="AY88" t="s">
        <v>80</v>
      </c>
      <c r="AZ88" t="s">
        <v>80</v>
      </c>
      <c r="BA88" t="s">
        <v>80</v>
      </c>
      <c r="BB88" t="s">
        <v>80</v>
      </c>
      <c r="BC88" t="s">
        <v>80</v>
      </c>
      <c r="BD88" t="s">
        <v>80</v>
      </c>
      <c r="BE88" t="s">
        <v>80</v>
      </c>
      <c r="BF88" t="s">
        <v>80</v>
      </c>
      <c r="BG88" t="s">
        <v>80</v>
      </c>
      <c r="BH88" t="s">
        <v>82</v>
      </c>
      <c r="BI88" t="s">
        <v>284</v>
      </c>
      <c r="BJ88">
        <f t="shared" si="19"/>
        <v>11</v>
      </c>
      <c r="BK88">
        <f>COUNTIF(AS88:BG88, "Correct") + COUNTIF(AS88:BG88, "Incorrect")</f>
        <v>4</v>
      </c>
      <c r="BL88">
        <v>11</v>
      </c>
      <c r="BM88">
        <v>4</v>
      </c>
      <c r="BN88" t="b">
        <f t="shared" si="20"/>
        <v>1</v>
      </c>
      <c r="BO88" t="b">
        <f t="shared" si="21"/>
        <v>1</v>
      </c>
      <c r="BP88" t="b">
        <f t="shared" si="22"/>
        <v>0</v>
      </c>
      <c r="BQ88" t="b">
        <v>0</v>
      </c>
      <c r="BR88">
        <f t="shared" si="23"/>
        <v>0.63636363636363635</v>
      </c>
      <c r="BS88">
        <f t="shared" si="24"/>
        <v>1</v>
      </c>
    </row>
    <row r="89" spans="1:71" ht="20" customHeight="1" x14ac:dyDescent="0.2">
      <c r="A89" t="s">
        <v>705</v>
      </c>
      <c r="B89" s="1">
        <v>45791.656678240739</v>
      </c>
      <c r="C89" s="1">
        <v>45791.67</v>
      </c>
      <c r="D89" t="s">
        <v>68</v>
      </c>
      <c r="E89" t="s">
        <v>704</v>
      </c>
      <c r="F89">
        <v>100</v>
      </c>
      <c r="G89">
        <v>1150</v>
      </c>
      <c r="H89" t="b">
        <v>1</v>
      </c>
      <c r="I89" s="1">
        <v>45791.67</v>
      </c>
      <c r="J89" t="s">
        <v>705</v>
      </c>
      <c r="O89">
        <v>40.582799999999999</v>
      </c>
      <c r="P89">
        <v>-73.953199999999995</v>
      </c>
      <c r="Q89" t="s">
        <v>71</v>
      </c>
      <c r="R89" t="s">
        <v>72</v>
      </c>
      <c r="S89" t="s">
        <v>706</v>
      </c>
      <c r="T89" t="s">
        <v>707</v>
      </c>
      <c r="U89" t="s">
        <v>708</v>
      </c>
      <c r="V89" t="s">
        <v>76</v>
      </c>
      <c r="X89" t="s">
        <v>77</v>
      </c>
      <c r="Z89" t="s">
        <v>709</v>
      </c>
      <c r="AA89" t="s">
        <v>79</v>
      </c>
      <c r="AB89" t="s">
        <v>79</v>
      </c>
      <c r="AC89" t="s">
        <v>91</v>
      </c>
      <c r="AD89" t="s">
        <v>80</v>
      </c>
      <c r="AE89" t="s">
        <v>80</v>
      </c>
      <c r="AF89" t="s">
        <v>80</v>
      </c>
      <c r="AG89" t="s">
        <v>80</v>
      </c>
      <c r="AH89" t="s">
        <v>80</v>
      </c>
      <c r="AI89" t="s">
        <v>80</v>
      </c>
      <c r="AJ89" t="s">
        <v>80</v>
      </c>
      <c r="AK89" t="s">
        <v>80</v>
      </c>
      <c r="AL89" t="s">
        <v>80</v>
      </c>
      <c r="AM89" t="s">
        <v>80</v>
      </c>
      <c r="AN89" t="s">
        <v>80</v>
      </c>
      <c r="AO89" t="s">
        <v>80</v>
      </c>
      <c r="AP89" t="s">
        <v>77</v>
      </c>
      <c r="AR89" t="s">
        <v>710</v>
      </c>
      <c r="AS89" t="s">
        <v>79</v>
      </c>
      <c r="AT89" t="s">
        <v>79</v>
      </c>
      <c r="AU89" t="s">
        <v>79</v>
      </c>
      <c r="AV89" t="s">
        <v>79</v>
      </c>
      <c r="AW89" t="s">
        <v>79</v>
      </c>
      <c r="AX89" t="s">
        <v>79</v>
      </c>
      <c r="AY89" t="s">
        <v>79</v>
      </c>
      <c r="AZ89" t="s">
        <v>80</v>
      </c>
      <c r="BA89" t="s">
        <v>80</v>
      </c>
      <c r="BB89" t="s">
        <v>80</v>
      </c>
      <c r="BC89" t="s">
        <v>80</v>
      </c>
      <c r="BD89" t="s">
        <v>80</v>
      </c>
      <c r="BE89" t="s">
        <v>80</v>
      </c>
      <c r="BF89" t="s">
        <v>80</v>
      </c>
      <c r="BG89" t="s">
        <v>80</v>
      </c>
      <c r="BH89" t="s">
        <v>82</v>
      </c>
      <c r="BI89" t="s">
        <v>706</v>
      </c>
      <c r="BJ89">
        <v>5</v>
      </c>
      <c r="BK89">
        <f>COUNTIF(AS89:BG89, "Correct") + COUNTIF(AS89:BG89, "Incorrect")</f>
        <v>7</v>
      </c>
      <c r="BL89">
        <v>5</v>
      </c>
      <c r="BM89">
        <v>7</v>
      </c>
      <c r="BN89" t="b">
        <f t="shared" si="20"/>
        <v>1</v>
      </c>
      <c r="BO89" t="b">
        <f t="shared" si="21"/>
        <v>1</v>
      </c>
      <c r="BP89" t="b">
        <f t="shared" si="22"/>
        <v>0</v>
      </c>
      <c r="BQ89" t="b">
        <v>0</v>
      </c>
      <c r="BR89">
        <f t="shared" si="23"/>
        <v>0.4</v>
      </c>
      <c r="BS89">
        <f t="shared" si="24"/>
        <v>1</v>
      </c>
    </row>
    <row r="90" spans="1:71" ht="20" customHeight="1" x14ac:dyDescent="0.2">
      <c r="A90" t="s">
        <v>712</v>
      </c>
      <c r="B90" s="1">
        <v>45791.657962962963</v>
      </c>
      <c r="C90" s="1">
        <v>45791.676504629628</v>
      </c>
      <c r="D90" t="s">
        <v>68</v>
      </c>
      <c r="E90" t="s">
        <v>711</v>
      </c>
      <c r="F90">
        <v>100</v>
      </c>
      <c r="G90">
        <v>1602</v>
      </c>
      <c r="H90" t="b">
        <v>1</v>
      </c>
      <c r="I90" s="1">
        <v>45791.676516203705</v>
      </c>
      <c r="J90" t="s">
        <v>712</v>
      </c>
      <c r="O90">
        <v>25.956199999999999</v>
      </c>
      <c r="P90">
        <v>-80.1828</v>
      </c>
      <c r="Q90" t="s">
        <v>71</v>
      </c>
      <c r="R90" t="s">
        <v>72</v>
      </c>
      <c r="S90" t="s">
        <v>542</v>
      </c>
      <c r="T90" t="s">
        <v>713</v>
      </c>
      <c r="U90" t="s">
        <v>714</v>
      </c>
      <c r="V90" t="s">
        <v>76</v>
      </c>
      <c r="X90" t="s">
        <v>77</v>
      </c>
      <c r="Z90" t="s">
        <v>715</v>
      </c>
      <c r="AA90" t="s">
        <v>91</v>
      </c>
      <c r="AB90" t="s">
        <v>79</v>
      </c>
      <c r="AC90" t="s">
        <v>79</v>
      </c>
      <c r="AD90" t="s">
        <v>79</v>
      </c>
      <c r="AE90" t="s">
        <v>80</v>
      </c>
      <c r="AF90" t="s">
        <v>80</v>
      </c>
      <c r="AG90" t="s">
        <v>80</v>
      </c>
      <c r="AH90" t="s">
        <v>80</v>
      </c>
      <c r="AI90" t="s">
        <v>80</v>
      </c>
      <c r="AJ90" t="s">
        <v>80</v>
      </c>
      <c r="AK90" t="s">
        <v>80</v>
      </c>
      <c r="AL90" t="s">
        <v>80</v>
      </c>
      <c r="AM90" t="s">
        <v>80</v>
      </c>
      <c r="AN90" t="s">
        <v>80</v>
      </c>
      <c r="AO90" t="s">
        <v>80</v>
      </c>
      <c r="AP90" t="s">
        <v>77</v>
      </c>
      <c r="AR90" t="s">
        <v>716</v>
      </c>
      <c r="AS90" t="s">
        <v>79</v>
      </c>
      <c r="AT90" t="s">
        <v>79</v>
      </c>
      <c r="AU90" t="s">
        <v>79</v>
      </c>
      <c r="AV90" t="s">
        <v>79</v>
      </c>
      <c r="AW90" t="s">
        <v>79</v>
      </c>
      <c r="AX90" t="s">
        <v>80</v>
      </c>
      <c r="AY90" t="s">
        <v>80</v>
      </c>
      <c r="AZ90" t="s">
        <v>80</v>
      </c>
      <c r="BA90" t="s">
        <v>80</v>
      </c>
      <c r="BB90" t="s">
        <v>80</v>
      </c>
      <c r="BC90" t="s">
        <v>80</v>
      </c>
      <c r="BD90" t="s">
        <v>80</v>
      </c>
      <c r="BE90" t="s">
        <v>80</v>
      </c>
      <c r="BF90" t="s">
        <v>80</v>
      </c>
      <c r="BG90" t="s">
        <v>80</v>
      </c>
      <c r="BH90" t="s">
        <v>82</v>
      </c>
      <c r="BI90" t="s">
        <v>542</v>
      </c>
      <c r="BJ90">
        <f t="shared" ref="BJ90:BJ103" si="30">COUNTIF(AA90:AO90, "Correct") + COUNTIF(AA90:AO90, "Incorrect")</f>
        <v>4</v>
      </c>
      <c r="BK90">
        <f t="shared" ref="BK90:BK91" si="31">COUNTIF(AS90:BG90, "Correct") + COUNTIF(AS90:BG90, "Incorrect")</f>
        <v>5</v>
      </c>
      <c r="BL90">
        <v>4</v>
      </c>
      <c r="BM90">
        <v>5</v>
      </c>
      <c r="BN90" t="b">
        <f t="shared" si="20"/>
        <v>1</v>
      </c>
      <c r="BO90" t="b">
        <f t="shared" si="21"/>
        <v>1</v>
      </c>
      <c r="BP90" t="b">
        <f t="shared" si="22"/>
        <v>0</v>
      </c>
      <c r="BQ90" t="b">
        <v>0</v>
      </c>
      <c r="BR90">
        <f t="shared" si="23"/>
        <v>0.75</v>
      </c>
      <c r="BS90">
        <f t="shared" si="24"/>
        <v>1</v>
      </c>
    </row>
    <row r="91" spans="1:71" ht="20" customHeight="1" x14ac:dyDescent="0.2">
      <c r="A91" t="s">
        <v>718</v>
      </c>
      <c r="B91" s="1">
        <v>45791.662685185183</v>
      </c>
      <c r="C91" s="1">
        <v>45791.681817129633</v>
      </c>
      <c r="D91" t="s">
        <v>68</v>
      </c>
      <c r="E91" t="s">
        <v>717</v>
      </c>
      <c r="F91">
        <v>100</v>
      </c>
      <c r="G91">
        <v>1652</v>
      </c>
      <c r="H91" t="b">
        <v>1</v>
      </c>
      <c r="I91" s="1">
        <v>45791.681817129633</v>
      </c>
      <c r="J91" t="s">
        <v>718</v>
      </c>
      <c r="O91">
        <v>30.2971</v>
      </c>
      <c r="P91">
        <v>-97.818100000000001</v>
      </c>
      <c r="Q91" t="s">
        <v>71</v>
      </c>
      <c r="R91" t="s">
        <v>72</v>
      </c>
      <c r="S91" t="s">
        <v>719</v>
      </c>
      <c r="T91" t="s">
        <v>720</v>
      </c>
      <c r="U91" t="s">
        <v>721</v>
      </c>
      <c r="V91" t="s">
        <v>76</v>
      </c>
      <c r="X91" t="s">
        <v>77</v>
      </c>
      <c r="Z91" t="s">
        <v>722</v>
      </c>
      <c r="AA91" t="s">
        <v>79</v>
      </c>
      <c r="AB91" t="s">
        <v>79</v>
      </c>
      <c r="AC91" t="s">
        <v>79</v>
      </c>
      <c r="AD91" t="s">
        <v>79</v>
      </c>
      <c r="AE91" t="s">
        <v>79</v>
      </c>
      <c r="AF91" t="s">
        <v>91</v>
      </c>
      <c r="AG91" t="s">
        <v>91</v>
      </c>
      <c r="AH91" t="s">
        <v>91</v>
      </c>
      <c r="AI91" t="s">
        <v>80</v>
      </c>
      <c r="AJ91" t="s">
        <v>80</v>
      </c>
      <c r="AK91" t="s">
        <v>80</v>
      </c>
      <c r="AL91" t="s">
        <v>80</v>
      </c>
      <c r="AM91" t="s">
        <v>80</v>
      </c>
      <c r="AN91" t="s">
        <v>80</v>
      </c>
      <c r="AO91" t="s">
        <v>80</v>
      </c>
      <c r="AP91" t="s">
        <v>77</v>
      </c>
      <c r="AR91" t="s">
        <v>723</v>
      </c>
      <c r="AS91" t="s">
        <v>79</v>
      </c>
      <c r="AT91" t="s">
        <v>79</v>
      </c>
      <c r="AU91" t="s">
        <v>79</v>
      </c>
      <c r="AV91" t="s">
        <v>91</v>
      </c>
      <c r="AW91" t="s">
        <v>79</v>
      </c>
      <c r="AX91" t="s">
        <v>91</v>
      </c>
      <c r="AY91" t="s">
        <v>91</v>
      </c>
      <c r="AZ91" t="s">
        <v>80</v>
      </c>
      <c r="BA91" t="s">
        <v>80</v>
      </c>
      <c r="BB91" t="s">
        <v>80</v>
      </c>
      <c r="BC91" t="s">
        <v>80</v>
      </c>
      <c r="BD91" t="s">
        <v>80</v>
      </c>
      <c r="BE91" t="s">
        <v>80</v>
      </c>
      <c r="BF91" t="s">
        <v>80</v>
      </c>
      <c r="BG91" t="s">
        <v>80</v>
      </c>
      <c r="BH91" t="s">
        <v>92</v>
      </c>
      <c r="BI91" t="s">
        <v>719</v>
      </c>
      <c r="BJ91">
        <f t="shared" si="30"/>
        <v>8</v>
      </c>
      <c r="BK91">
        <f t="shared" si="31"/>
        <v>7</v>
      </c>
      <c r="BL91">
        <v>8</v>
      </c>
      <c r="BM91">
        <v>7</v>
      </c>
      <c r="BN91" t="b">
        <f t="shared" si="20"/>
        <v>1</v>
      </c>
      <c r="BO91" t="b">
        <f t="shared" si="21"/>
        <v>1</v>
      </c>
      <c r="BP91" t="b">
        <f t="shared" si="22"/>
        <v>0</v>
      </c>
      <c r="BQ91" t="b">
        <v>0</v>
      </c>
      <c r="BR91">
        <f t="shared" si="23"/>
        <v>0.625</v>
      </c>
      <c r="BS91">
        <f t="shared" si="24"/>
        <v>0.5714285714285714</v>
      </c>
    </row>
    <row r="92" spans="1:71" ht="20" customHeight="1" x14ac:dyDescent="0.2">
      <c r="A92" t="s">
        <v>725</v>
      </c>
      <c r="B92" s="1">
        <v>45791.676944444444</v>
      </c>
      <c r="C92" s="1">
        <v>45791.685833333337</v>
      </c>
      <c r="D92" t="s">
        <v>68</v>
      </c>
      <c r="E92" t="s">
        <v>724</v>
      </c>
      <c r="F92">
        <v>100</v>
      </c>
      <c r="G92">
        <v>768</v>
      </c>
      <c r="H92" t="b">
        <v>1</v>
      </c>
      <c r="I92" s="1">
        <v>45791.685844907406</v>
      </c>
      <c r="J92" t="s">
        <v>725</v>
      </c>
      <c r="O92">
        <v>42.7712</v>
      </c>
      <c r="P92">
        <v>-87.798400000000001</v>
      </c>
      <c r="Q92" t="s">
        <v>71</v>
      </c>
      <c r="R92" t="s">
        <v>72</v>
      </c>
      <c r="S92" t="s">
        <v>726</v>
      </c>
      <c r="T92" t="s">
        <v>727</v>
      </c>
      <c r="U92" t="s">
        <v>728</v>
      </c>
      <c r="V92" t="s">
        <v>76</v>
      </c>
      <c r="X92" t="s">
        <v>77</v>
      </c>
      <c r="Z92" t="s">
        <v>729</v>
      </c>
      <c r="AA92" t="s">
        <v>91</v>
      </c>
      <c r="AB92" t="s">
        <v>80</v>
      </c>
      <c r="AC92" t="s">
        <v>80</v>
      </c>
      <c r="AD92" t="s">
        <v>80</v>
      </c>
      <c r="AE92" t="s">
        <v>80</v>
      </c>
      <c r="AF92" t="s">
        <v>80</v>
      </c>
      <c r="AG92" t="s">
        <v>80</v>
      </c>
      <c r="AH92" t="s">
        <v>80</v>
      </c>
      <c r="AI92" t="s">
        <v>80</v>
      </c>
      <c r="AJ92" t="s">
        <v>80</v>
      </c>
      <c r="AK92" t="s">
        <v>80</v>
      </c>
      <c r="AL92" t="s">
        <v>80</v>
      </c>
      <c r="AM92" t="s">
        <v>80</v>
      </c>
      <c r="AN92" t="s">
        <v>80</v>
      </c>
      <c r="AO92" t="s">
        <v>80</v>
      </c>
      <c r="AP92" t="s">
        <v>77</v>
      </c>
      <c r="AR92" t="s">
        <v>730</v>
      </c>
      <c r="AS92" t="s">
        <v>79</v>
      </c>
      <c r="AT92" t="s">
        <v>79</v>
      </c>
      <c r="AU92" t="s">
        <v>79</v>
      </c>
      <c r="AV92" t="s">
        <v>79</v>
      </c>
      <c r="AW92" t="s">
        <v>79</v>
      </c>
      <c r="AX92" t="s">
        <v>79</v>
      </c>
      <c r="AY92" t="s">
        <v>79</v>
      </c>
      <c r="AZ92" t="s">
        <v>79</v>
      </c>
      <c r="BA92" t="s">
        <v>79</v>
      </c>
      <c r="BB92" t="s">
        <v>79</v>
      </c>
      <c r="BC92" t="s">
        <v>79</v>
      </c>
      <c r="BD92" t="s">
        <v>79</v>
      </c>
      <c r="BE92" t="s">
        <v>80</v>
      </c>
      <c r="BF92" t="s">
        <v>80</v>
      </c>
      <c r="BG92" t="s">
        <v>80</v>
      </c>
      <c r="BH92" t="s">
        <v>82</v>
      </c>
      <c r="BI92" t="s">
        <v>726</v>
      </c>
      <c r="BJ92">
        <f t="shared" si="30"/>
        <v>1</v>
      </c>
      <c r="BK92">
        <f>COUNTIF(AS92:BG92, "Correct") + COUNTIF(AS92:BG92, "Incorrect")</f>
        <v>12</v>
      </c>
      <c r="BL92">
        <v>1</v>
      </c>
      <c r="BM92">
        <v>12</v>
      </c>
      <c r="BN92" t="b">
        <f t="shared" si="20"/>
        <v>1</v>
      </c>
      <c r="BO92" t="b">
        <f t="shared" si="21"/>
        <v>1</v>
      </c>
      <c r="BP92" t="b">
        <f t="shared" si="22"/>
        <v>0</v>
      </c>
      <c r="BQ92" t="b">
        <v>0</v>
      </c>
      <c r="BR92">
        <f t="shared" si="23"/>
        <v>0</v>
      </c>
      <c r="BS92">
        <f t="shared" si="24"/>
        <v>1</v>
      </c>
    </row>
    <row r="93" spans="1:71" ht="20" customHeight="1" x14ac:dyDescent="0.2">
      <c r="A93" t="s">
        <v>732</v>
      </c>
      <c r="B93" s="1">
        <v>45791.686006944445</v>
      </c>
      <c r="C93" s="1">
        <v>45791.703472222223</v>
      </c>
      <c r="D93" t="s">
        <v>68</v>
      </c>
      <c r="E93" t="s">
        <v>731</v>
      </c>
      <c r="F93">
        <v>100</v>
      </c>
      <c r="G93">
        <v>1509</v>
      </c>
      <c r="H93" t="b">
        <v>1</v>
      </c>
      <c r="I93" s="1">
        <v>45791.703483796293</v>
      </c>
      <c r="J93" t="s">
        <v>732</v>
      </c>
      <c r="O93">
        <v>51.497</v>
      </c>
      <c r="P93">
        <v>6.8500000000000005E-2</v>
      </c>
      <c r="Q93" t="s">
        <v>71</v>
      </c>
      <c r="R93" t="s">
        <v>72</v>
      </c>
      <c r="S93" t="s">
        <v>733</v>
      </c>
      <c r="T93" t="s">
        <v>734</v>
      </c>
      <c r="U93" t="s">
        <v>735</v>
      </c>
      <c r="V93" t="s">
        <v>76</v>
      </c>
      <c r="X93" t="s">
        <v>77</v>
      </c>
      <c r="Z93" t="s">
        <v>736</v>
      </c>
      <c r="AA93" t="s">
        <v>79</v>
      </c>
      <c r="AB93" t="s">
        <v>79</v>
      </c>
      <c r="AC93" t="s">
        <v>79</v>
      </c>
      <c r="AD93" t="s">
        <v>79</v>
      </c>
      <c r="AE93" t="s">
        <v>79</v>
      </c>
      <c r="AF93" t="s">
        <v>91</v>
      </c>
      <c r="AG93" t="s">
        <v>79</v>
      </c>
      <c r="AH93" t="s">
        <v>91</v>
      </c>
      <c r="AI93" t="s">
        <v>80</v>
      </c>
      <c r="AJ93" t="s">
        <v>80</v>
      </c>
      <c r="AK93" t="s">
        <v>80</v>
      </c>
      <c r="AL93" t="s">
        <v>80</v>
      </c>
      <c r="AM93" t="s">
        <v>80</v>
      </c>
      <c r="AN93" t="s">
        <v>80</v>
      </c>
      <c r="AO93" t="s">
        <v>80</v>
      </c>
      <c r="AP93" t="s">
        <v>77</v>
      </c>
      <c r="AR93" t="s">
        <v>737</v>
      </c>
      <c r="AS93" t="s">
        <v>79</v>
      </c>
      <c r="AT93" t="s">
        <v>79</v>
      </c>
      <c r="AU93" t="s">
        <v>79</v>
      </c>
      <c r="AV93" t="s">
        <v>79</v>
      </c>
      <c r="AW93" t="s">
        <v>91</v>
      </c>
      <c r="AX93" t="s">
        <v>80</v>
      </c>
      <c r="AY93" t="s">
        <v>80</v>
      </c>
      <c r="AZ93" t="s">
        <v>80</v>
      </c>
      <c r="BA93" t="s">
        <v>80</v>
      </c>
      <c r="BB93" t="s">
        <v>80</v>
      </c>
      <c r="BC93" t="s">
        <v>80</v>
      </c>
      <c r="BD93" t="s">
        <v>80</v>
      </c>
      <c r="BE93" t="s">
        <v>80</v>
      </c>
      <c r="BF93" t="s">
        <v>80</v>
      </c>
      <c r="BG93" t="s">
        <v>80</v>
      </c>
      <c r="BH93" t="s">
        <v>260</v>
      </c>
      <c r="BI93" t="s">
        <v>733</v>
      </c>
      <c r="BJ93">
        <f t="shared" si="30"/>
        <v>8</v>
      </c>
      <c r="BK93">
        <f>COUNTIF(AS93:BG93, "Correct") + COUNTIF(AS93:BG93, "Incorrect")</f>
        <v>5</v>
      </c>
      <c r="BL93">
        <v>8</v>
      </c>
      <c r="BM93">
        <v>5</v>
      </c>
      <c r="BN93" t="b">
        <f t="shared" si="20"/>
        <v>1</v>
      </c>
      <c r="BO93" t="b">
        <f t="shared" si="21"/>
        <v>1</v>
      </c>
      <c r="BP93" t="b">
        <f t="shared" si="22"/>
        <v>0</v>
      </c>
      <c r="BQ93" t="b">
        <v>0</v>
      </c>
      <c r="BR93">
        <f t="shared" si="23"/>
        <v>0.75</v>
      </c>
      <c r="BS93">
        <f t="shared" si="24"/>
        <v>0.8</v>
      </c>
    </row>
    <row r="94" spans="1:71" ht="20" customHeight="1" x14ac:dyDescent="0.2">
      <c r="A94" t="s">
        <v>739</v>
      </c>
      <c r="B94" s="1">
        <v>45791.737210648149</v>
      </c>
      <c r="C94" s="1">
        <v>45791.752245370371</v>
      </c>
      <c r="D94" t="s">
        <v>68</v>
      </c>
      <c r="E94" t="s">
        <v>738</v>
      </c>
      <c r="F94">
        <v>100</v>
      </c>
      <c r="G94">
        <v>1298</v>
      </c>
      <c r="H94" t="b">
        <v>1</v>
      </c>
      <c r="I94" s="1">
        <v>45791.752245370371</v>
      </c>
      <c r="J94" t="s">
        <v>739</v>
      </c>
      <c r="O94">
        <v>43.777299999999997</v>
      </c>
      <c r="P94">
        <v>-79.444299999999998</v>
      </c>
      <c r="Q94" t="s">
        <v>71</v>
      </c>
      <c r="R94" t="s">
        <v>72</v>
      </c>
      <c r="S94" t="s">
        <v>740</v>
      </c>
      <c r="T94" t="s">
        <v>741</v>
      </c>
      <c r="U94" t="s">
        <v>742</v>
      </c>
      <c r="V94" t="s">
        <v>76</v>
      </c>
      <c r="X94" t="s">
        <v>77</v>
      </c>
      <c r="Z94" t="s">
        <v>743</v>
      </c>
      <c r="AA94" t="s">
        <v>79</v>
      </c>
      <c r="AB94" t="s">
        <v>79</v>
      </c>
      <c r="AC94" t="s">
        <v>79</v>
      </c>
      <c r="AD94" t="s">
        <v>79</v>
      </c>
      <c r="AE94" t="s">
        <v>80</v>
      </c>
      <c r="AF94" t="s">
        <v>80</v>
      </c>
      <c r="AG94" t="s">
        <v>80</v>
      </c>
      <c r="AH94" t="s">
        <v>80</v>
      </c>
      <c r="AI94" t="s">
        <v>80</v>
      </c>
      <c r="AJ94" t="s">
        <v>80</v>
      </c>
      <c r="AK94" t="s">
        <v>80</v>
      </c>
      <c r="AL94" t="s">
        <v>80</v>
      </c>
      <c r="AM94" t="s">
        <v>80</v>
      </c>
      <c r="AN94" t="s">
        <v>80</v>
      </c>
      <c r="AO94" t="s">
        <v>80</v>
      </c>
      <c r="AP94" t="s">
        <v>77</v>
      </c>
      <c r="AR94" t="s">
        <v>744</v>
      </c>
      <c r="AS94" t="s">
        <v>91</v>
      </c>
      <c r="AT94" t="s">
        <v>80</v>
      </c>
      <c r="AU94" t="s">
        <v>80</v>
      </c>
      <c r="AV94" t="s">
        <v>80</v>
      </c>
      <c r="AW94" t="s">
        <v>80</v>
      </c>
      <c r="AX94" t="s">
        <v>80</v>
      </c>
      <c r="AY94" t="s">
        <v>80</v>
      </c>
      <c r="AZ94" t="s">
        <v>80</v>
      </c>
      <c r="BA94" t="s">
        <v>80</v>
      </c>
      <c r="BB94" t="s">
        <v>80</v>
      </c>
      <c r="BC94" t="s">
        <v>80</v>
      </c>
      <c r="BD94" t="s">
        <v>80</v>
      </c>
      <c r="BE94" t="s">
        <v>80</v>
      </c>
      <c r="BF94" t="s">
        <v>80</v>
      </c>
      <c r="BG94" t="s">
        <v>80</v>
      </c>
      <c r="BH94" t="s">
        <v>92</v>
      </c>
      <c r="BI94" t="s">
        <v>740</v>
      </c>
      <c r="BJ94">
        <f t="shared" si="30"/>
        <v>4</v>
      </c>
      <c r="BK94">
        <f t="shared" ref="BK94:BK95" si="32">COUNTIF(AS94:BG94, "Correct") + COUNTIF(AS94:BG94, "Incorrect")</f>
        <v>1</v>
      </c>
      <c r="BL94">
        <v>4</v>
      </c>
      <c r="BM94">
        <v>1</v>
      </c>
      <c r="BN94" t="b">
        <f t="shared" si="20"/>
        <v>1</v>
      </c>
      <c r="BO94" t="b">
        <f t="shared" si="21"/>
        <v>1</v>
      </c>
      <c r="BP94" t="b">
        <f t="shared" si="22"/>
        <v>0</v>
      </c>
      <c r="BQ94" t="b">
        <v>0</v>
      </c>
      <c r="BR94">
        <f t="shared" si="23"/>
        <v>1</v>
      </c>
      <c r="BS94">
        <f t="shared" si="24"/>
        <v>0</v>
      </c>
    </row>
    <row r="95" spans="1:71" ht="20" customHeight="1" x14ac:dyDescent="0.2">
      <c r="A95" t="s">
        <v>745</v>
      </c>
      <c r="B95" s="1">
        <v>45791.840196759258</v>
      </c>
      <c r="C95" s="1">
        <v>45791.857581018521</v>
      </c>
      <c r="D95" t="s">
        <v>68</v>
      </c>
      <c r="E95" t="s">
        <v>738</v>
      </c>
      <c r="F95">
        <v>100</v>
      </c>
      <c r="G95">
        <v>1502</v>
      </c>
      <c r="H95" t="b">
        <v>1</v>
      </c>
      <c r="I95" s="1">
        <v>45791.857592592591</v>
      </c>
      <c r="J95" t="s">
        <v>745</v>
      </c>
      <c r="O95">
        <v>43.777299999999997</v>
      </c>
      <c r="P95">
        <v>-79.444299999999998</v>
      </c>
      <c r="Q95" t="s">
        <v>71</v>
      </c>
      <c r="R95" t="s">
        <v>72</v>
      </c>
      <c r="S95" t="s">
        <v>740</v>
      </c>
      <c r="T95" t="s">
        <v>746</v>
      </c>
      <c r="U95" t="s">
        <v>747</v>
      </c>
      <c r="V95" t="s">
        <v>76</v>
      </c>
      <c r="X95" t="s">
        <v>77</v>
      </c>
      <c r="Z95" t="s">
        <v>748</v>
      </c>
      <c r="AA95" t="s">
        <v>91</v>
      </c>
      <c r="AB95" t="s">
        <v>80</v>
      </c>
      <c r="AC95" t="s">
        <v>80</v>
      </c>
      <c r="AD95" t="s">
        <v>80</v>
      </c>
      <c r="AE95" t="s">
        <v>80</v>
      </c>
      <c r="AF95" t="s">
        <v>80</v>
      </c>
      <c r="AG95" t="s">
        <v>80</v>
      </c>
      <c r="AH95" t="s">
        <v>80</v>
      </c>
      <c r="AI95" t="s">
        <v>80</v>
      </c>
      <c r="AJ95" t="s">
        <v>80</v>
      </c>
      <c r="AK95" t="s">
        <v>80</v>
      </c>
      <c r="AL95" t="s">
        <v>80</v>
      </c>
      <c r="AM95" t="s">
        <v>80</v>
      </c>
      <c r="AN95" t="s">
        <v>80</v>
      </c>
      <c r="AO95" t="s">
        <v>80</v>
      </c>
      <c r="AP95" t="s">
        <v>77</v>
      </c>
      <c r="AR95" t="s">
        <v>749</v>
      </c>
      <c r="AS95" t="s">
        <v>79</v>
      </c>
      <c r="AT95" t="s">
        <v>79</v>
      </c>
      <c r="AU95" t="s">
        <v>79</v>
      </c>
      <c r="AV95" t="s">
        <v>79</v>
      </c>
      <c r="AW95" t="s">
        <v>79</v>
      </c>
      <c r="AX95" t="s">
        <v>91</v>
      </c>
      <c r="AY95" t="s">
        <v>79</v>
      </c>
      <c r="AZ95" t="s">
        <v>79</v>
      </c>
      <c r="BA95" t="s">
        <v>79</v>
      </c>
      <c r="BB95" t="s">
        <v>79</v>
      </c>
      <c r="BC95" t="s">
        <v>79</v>
      </c>
      <c r="BD95" t="s">
        <v>91</v>
      </c>
      <c r="BE95" t="s">
        <v>79</v>
      </c>
      <c r="BF95" t="s">
        <v>79</v>
      </c>
      <c r="BG95" t="s">
        <v>91</v>
      </c>
      <c r="BH95" t="s">
        <v>82</v>
      </c>
      <c r="BI95" t="s">
        <v>740</v>
      </c>
      <c r="BJ95">
        <f t="shared" si="30"/>
        <v>1</v>
      </c>
      <c r="BK95">
        <f t="shared" si="32"/>
        <v>15</v>
      </c>
      <c r="BL95">
        <v>1</v>
      </c>
      <c r="BM95">
        <v>15</v>
      </c>
      <c r="BN95" t="b">
        <f t="shared" si="20"/>
        <v>1</v>
      </c>
      <c r="BO95" t="b">
        <f t="shared" si="21"/>
        <v>1</v>
      </c>
      <c r="BP95" t="b">
        <f t="shared" si="22"/>
        <v>0</v>
      </c>
      <c r="BQ95" t="b">
        <v>0</v>
      </c>
      <c r="BR95">
        <f t="shared" si="23"/>
        <v>0</v>
      </c>
      <c r="BS95">
        <f t="shared" si="24"/>
        <v>0.8</v>
      </c>
    </row>
    <row r="96" spans="1:71" ht="20" customHeight="1" x14ac:dyDescent="0.2">
      <c r="A96" t="s">
        <v>751</v>
      </c>
      <c r="B96" s="1">
        <v>45791.835057870368</v>
      </c>
      <c r="C96" s="1">
        <v>45791.858483796299</v>
      </c>
      <c r="D96" t="s">
        <v>68</v>
      </c>
      <c r="E96" t="s">
        <v>750</v>
      </c>
      <c r="F96">
        <v>100</v>
      </c>
      <c r="G96">
        <v>2023</v>
      </c>
      <c r="H96" t="b">
        <v>1</v>
      </c>
      <c r="I96" s="1">
        <v>45791.858483796299</v>
      </c>
      <c r="J96" t="s">
        <v>751</v>
      </c>
      <c r="O96">
        <v>39.4895</v>
      </c>
      <c r="P96">
        <v>-104.8447</v>
      </c>
      <c r="Q96" t="s">
        <v>71</v>
      </c>
      <c r="R96" t="s">
        <v>72</v>
      </c>
      <c r="S96" s="3" t="s">
        <v>752</v>
      </c>
      <c r="T96" t="s">
        <v>753</v>
      </c>
      <c r="U96" t="s">
        <v>754</v>
      </c>
      <c r="V96" t="s">
        <v>76</v>
      </c>
      <c r="X96" t="s">
        <v>77</v>
      </c>
      <c r="Z96" t="s">
        <v>755</v>
      </c>
      <c r="AA96" t="s">
        <v>79</v>
      </c>
      <c r="AB96" t="s">
        <v>79</v>
      </c>
      <c r="AC96" t="s">
        <v>79</v>
      </c>
      <c r="AD96" t="s">
        <v>79</v>
      </c>
      <c r="AE96" t="s">
        <v>80</v>
      </c>
      <c r="AF96" t="s">
        <v>80</v>
      </c>
      <c r="AG96" t="s">
        <v>80</v>
      </c>
      <c r="AH96" t="s">
        <v>80</v>
      </c>
      <c r="AI96" t="s">
        <v>80</v>
      </c>
      <c r="AJ96" t="s">
        <v>80</v>
      </c>
      <c r="AK96" t="s">
        <v>80</v>
      </c>
      <c r="AL96" t="s">
        <v>80</v>
      </c>
      <c r="AM96" t="s">
        <v>80</v>
      </c>
      <c r="AN96" t="s">
        <v>80</v>
      </c>
      <c r="AO96" t="s">
        <v>80</v>
      </c>
      <c r="AP96" t="s">
        <v>77</v>
      </c>
      <c r="AR96" t="s">
        <v>756</v>
      </c>
      <c r="AS96" t="s">
        <v>91</v>
      </c>
      <c r="AT96" t="s">
        <v>91</v>
      </c>
      <c r="AU96" t="s">
        <v>91</v>
      </c>
      <c r="AV96" t="s">
        <v>79</v>
      </c>
      <c r="AW96" t="s">
        <v>91</v>
      </c>
      <c r="AX96" t="s">
        <v>79</v>
      </c>
      <c r="AY96" t="s">
        <v>80</v>
      </c>
      <c r="AZ96" t="s">
        <v>80</v>
      </c>
      <c r="BA96" t="s">
        <v>80</v>
      </c>
      <c r="BB96" t="s">
        <v>80</v>
      </c>
      <c r="BC96" t="s">
        <v>80</v>
      </c>
      <c r="BD96" t="s">
        <v>80</v>
      </c>
      <c r="BE96" t="s">
        <v>80</v>
      </c>
      <c r="BF96" t="s">
        <v>80</v>
      </c>
      <c r="BG96" t="s">
        <v>80</v>
      </c>
      <c r="BH96" t="s">
        <v>757</v>
      </c>
      <c r="BI96" s="3" t="s">
        <v>752</v>
      </c>
      <c r="BJ96">
        <f t="shared" si="30"/>
        <v>4</v>
      </c>
      <c r="BK96">
        <f>COUNTIF(AS96:BG96, "Correct") + COUNTIF(AS96:BG96, "Incorrect")</f>
        <v>6</v>
      </c>
      <c r="BL96">
        <v>4</v>
      </c>
      <c r="BM96">
        <v>6</v>
      </c>
      <c r="BN96" t="b">
        <f t="shared" si="20"/>
        <v>1</v>
      </c>
      <c r="BO96" t="b">
        <f t="shared" si="21"/>
        <v>1</v>
      </c>
      <c r="BP96" t="b">
        <f t="shared" si="22"/>
        <v>0</v>
      </c>
      <c r="BQ96" t="b">
        <v>0</v>
      </c>
      <c r="BR96">
        <f t="shared" si="23"/>
        <v>1</v>
      </c>
      <c r="BS96">
        <f t="shared" si="24"/>
        <v>0.33333333333333331</v>
      </c>
    </row>
    <row r="97" spans="1:71" ht="20" customHeight="1" x14ac:dyDescent="0.2">
      <c r="A97" t="s">
        <v>758</v>
      </c>
      <c r="B97" s="1">
        <v>45791.853981481479</v>
      </c>
      <c r="C97" s="1">
        <v>45791.86173611111</v>
      </c>
      <c r="D97" t="s">
        <v>68</v>
      </c>
      <c r="E97" t="s">
        <v>606</v>
      </c>
      <c r="F97">
        <v>100</v>
      </c>
      <c r="G97">
        <v>670</v>
      </c>
      <c r="H97" t="b">
        <v>1</v>
      </c>
      <c r="I97" s="1">
        <v>45791.86173611111</v>
      </c>
      <c r="J97" t="s">
        <v>758</v>
      </c>
      <c r="O97">
        <v>33.955800000000004</v>
      </c>
      <c r="P97">
        <v>-118.38930000000001</v>
      </c>
      <c r="Q97" t="s">
        <v>71</v>
      </c>
      <c r="R97" t="s">
        <v>72</v>
      </c>
      <c r="S97" s="3" t="s">
        <v>608</v>
      </c>
      <c r="T97" t="s">
        <v>759</v>
      </c>
      <c r="U97" t="s">
        <v>760</v>
      </c>
      <c r="V97" t="s">
        <v>76</v>
      </c>
      <c r="W97" t="s">
        <v>761</v>
      </c>
      <c r="X97" t="s">
        <v>77</v>
      </c>
      <c r="Z97" t="s">
        <v>762</v>
      </c>
      <c r="AA97" t="s">
        <v>91</v>
      </c>
      <c r="AB97" t="s">
        <v>80</v>
      </c>
      <c r="AC97" t="s">
        <v>80</v>
      </c>
      <c r="AD97" t="s">
        <v>80</v>
      </c>
      <c r="AE97" t="s">
        <v>80</v>
      </c>
      <c r="AF97" t="s">
        <v>80</v>
      </c>
      <c r="AG97" t="s">
        <v>80</v>
      </c>
      <c r="AH97" t="s">
        <v>80</v>
      </c>
      <c r="AI97" t="s">
        <v>80</v>
      </c>
      <c r="AJ97" t="s">
        <v>80</v>
      </c>
      <c r="AK97" t="s">
        <v>80</v>
      </c>
      <c r="AL97" t="s">
        <v>80</v>
      </c>
      <c r="AM97" t="s">
        <v>80</v>
      </c>
      <c r="AN97" t="s">
        <v>80</v>
      </c>
      <c r="AO97" t="s">
        <v>80</v>
      </c>
      <c r="AP97" t="s">
        <v>77</v>
      </c>
      <c r="AR97" t="s">
        <v>763</v>
      </c>
      <c r="AS97" t="s">
        <v>79</v>
      </c>
      <c r="AT97" t="s">
        <v>79</v>
      </c>
      <c r="AU97" t="s">
        <v>79</v>
      </c>
      <c r="AV97" t="s">
        <v>79</v>
      </c>
      <c r="AW97" t="s">
        <v>79</v>
      </c>
      <c r="AX97" t="s">
        <v>79</v>
      </c>
      <c r="AY97" t="s">
        <v>79</v>
      </c>
      <c r="AZ97" t="s">
        <v>79</v>
      </c>
      <c r="BA97" t="s">
        <v>79</v>
      </c>
      <c r="BB97" t="s">
        <v>79</v>
      </c>
      <c r="BC97" t="s">
        <v>80</v>
      </c>
      <c r="BD97" t="s">
        <v>80</v>
      </c>
      <c r="BE97" t="s">
        <v>80</v>
      </c>
      <c r="BF97" t="s">
        <v>80</v>
      </c>
      <c r="BG97" t="s">
        <v>80</v>
      </c>
      <c r="BH97" t="s">
        <v>82</v>
      </c>
      <c r="BI97" s="3" t="s">
        <v>608</v>
      </c>
      <c r="BJ97">
        <f t="shared" si="30"/>
        <v>1</v>
      </c>
      <c r="BK97">
        <f>COUNTIF(AS97:BG97, "Correct") + COUNTIF(AS97:BG97, "Incorrect")</f>
        <v>10</v>
      </c>
      <c r="BL97">
        <v>1</v>
      </c>
      <c r="BM97">
        <v>10</v>
      </c>
      <c r="BN97" t="b">
        <f t="shared" si="20"/>
        <v>1</v>
      </c>
      <c r="BO97" t="b">
        <f t="shared" si="21"/>
        <v>1</v>
      </c>
      <c r="BP97" t="b">
        <f t="shared" si="22"/>
        <v>0</v>
      </c>
      <c r="BQ97" t="b">
        <v>0</v>
      </c>
      <c r="BR97">
        <f t="shared" si="23"/>
        <v>0</v>
      </c>
      <c r="BS97">
        <f t="shared" si="24"/>
        <v>1</v>
      </c>
    </row>
    <row r="98" spans="1:71" ht="20" customHeight="1" x14ac:dyDescent="0.2">
      <c r="A98" t="s">
        <v>764</v>
      </c>
      <c r="B98" s="1">
        <v>45791.854039351849</v>
      </c>
      <c r="C98" s="1">
        <v>45791.875335648147</v>
      </c>
      <c r="D98" t="s">
        <v>68</v>
      </c>
      <c r="E98" t="s">
        <v>448</v>
      </c>
      <c r="F98">
        <v>100</v>
      </c>
      <c r="G98">
        <v>1840</v>
      </c>
      <c r="H98" t="b">
        <v>1</v>
      </c>
      <c r="I98" s="1">
        <v>45791.875347222223</v>
      </c>
      <c r="J98" t="s">
        <v>764</v>
      </c>
      <c r="O98">
        <v>-27.441700000000001</v>
      </c>
      <c r="P98">
        <v>153.0197</v>
      </c>
      <c r="Q98" t="s">
        <v>71</v>
      </c>
      <c r="R98" t="s">
        <v>72</v>
      </c>
      <c r="S98" t="s">
        <v>450</v>
      </c>
      <c r="T98" t="s">
        <v>765</v>
      </c>
      <c r="U98" t="s">
        <v>766</v>
      </c>
      <c r="V98" t="s">
        <v>76</v>
      </c>
      <c r="W98" t="s">
        <v>767</v>
      </c>
      <c r="X98" t="s">
        <v>77</v>
      </c>
      <c r="Z98" t="s">
        <v>768</v>
      </c>
      <c r="AA98" t="s">
        <v>79</v>
      </c>
      <c r="AB98" t="s">
        <v>79</v>
      </c>
      <c r="AC98" t="s">
        <v>79</v>
      </c>
      <c r="AD98" t="s">
        <v>79</v>
      </c>
      <c r="AE98" t="s">
        <v>91</v>
      </c>
      <c r="AF98" t="s">
        <v>80</v>
      </c>
      <c r="AG98" t="s">
        <v>80</v>
      </c>
      <c r="AH98" t="s">
        <v>80</v>
      </c>
      <c r="AI98" t="s">
        <v>80</v>
      </c>
      <c r="AJ98" t="s">
        <v>80</v>
      </c>
      <c r="AK98" t="s">
        <v>80</v>
      </c>
      <c r="AL98" t="s">
        <v>80</v>
      </c>
      <c r="AM98" t="s">
        <v>80</v>
      </c>
      <c r="AN98" t="s">
        <v>80</v>
      </c>
      <c r="AO98" t="s">
        <v>80</v>
      </c>
      <c r="AP98" t="s">
        <v>77</v>
      </c>
      <c r="AR98" t="s">
        <v>769</v>
      </c>
      <c r="AS98" t="s">
        <v>91</v>
      </c>
      <c r="AT98" t="s">
        <v>80</v>
      </c>
      <c r="AU98" t="s">
        <v>80</v>
      </c>
      <c r="AV98" t="s">
        <v>80</v>
      </c>
      <c r="AW98" t="s">
        <v>80</v>
      </c>
      <c r="AX98" t="s">
        <v>80</v>
      </c>
      <c r="AY98" t="s">
        <v>80</v>
      </c>
      <c r="AZ98" t="s">
        <v>80</v>
      </c>
      <c r="BA98" t="s">
        <v>80</v>
      </c>
      <c r="BB98" t="s">
        <v>80</v>
      </c>
      <c r="BC98" t="s">
        <v>80</v>
      </c>
      <c r="BD98" t="s">
        <v>80</v>
      </c>
      <c r="BE98" t="s">
        <v>80</v>
      </c>
      <c r="BF98" t="s">
        <v>80</v>
      </c>
      <c r="BG98" t="s">
        <v>80</v>
      </c>
      <c r="BH98" t="s">
        <v>92</v>
      </c>
      <c r="BI98" t="s">
        <v>450</v>
      </c>
      <c r="BJ98">
        <f t="shared" si="30"/>
        <v>5</v>
      </c>
      <c r="BK98">
        <f t="shared" ref="BK98:BK99" si="33">COUNTIF(AS98:BG98, "Correct") + COUNTIF(AS98:BG98, "Incorrect")</f>
        <v>1</v>
      </c>
      <c r="BL98">
        <v>5</v>
      </c>
      <c r="BM98">
        <v>1</v>
      </c>
      <c r="BN98" t="b">
        <f t="shared" si="20"/>
        <v>1</v>
      </c>
      <c r="BO98" t="b">
        <f t="shared" si="21"/>
        <v>1</v>
      </c>
      <c r="BP98" t="b">
        <f t="shared" si="22"/>
        <v>0</v>
      </c>
      <c r="BQ98" t="b">
        <v>0</v>
      </c>
      <c r="BR98">
        <f t="shared" si="23"/>
        <v>0.8</v>
      </c>
      <c r="BS98">
        <f t="shared" si="24"/>
        <v>0</v>
      </c>
    </row>
    <row r="99" spans="1:71" ht="20" customHeight="1" x14ac:dyDescent="0.2">
      <c r="A99" t="s">
        <v>770</v>
      </c>
      <c r="B99" s="1">
        <v>45791.869456018518</v>
      </c>
      <c r="C99" s="1">
        <v>45791.879432870373</v>
      </c>
      <c r="D99" t="s">
        <v>68</v>
      </c>
      <c r="E99" t="s">
        <v>738</v>
      </c>
      <c r="F99">
        <v>100</v>
      </c>
      <c r="G99">
        <v>862</v>
      </c>
      <c r="H99" t="b">
        <v>1</v>
      </c>
      <c r="I99" s="1">
        <v>45791.879444444443</v>
      </c>
      <c r="J99" t="s">
        <v>770</v>
      </c>
      <c r="O99">
        <v>43.777299999999997</v>
      </c>
      <c r="P99">
        <v>-79.444299999999998</v>
      </c>
      <c r="Q99" t="s">
        <v>71</v>
      </c>
      <c r="R99" t="s">
        <v>72</v>
      </c>
      <c r="S99" t="s">
        <v>740</v>
      </c>
      <c r="T99" t="s">
        <v>771</v>
      </c>
      <c r="U99" t="s">
        <v>772</v>
      </c>
      <c r="V99" t="s">
        <v>76</v>
      </c>
      <c r="X99" t="s">
        <v>77</v>
      </c>
      <c r="Z99" t="s">
        <v>773</v>
      </c>
      <c r="AA99" t="s">
        <v>91</v>
      </c>
      <c r="AB99" t="s">
        <v>91</v>
      </c>
      <c r="AC99" t="s">
        <v>91</v>
      </c>
      <c r="AD99" t="s">
        <v>91</v>
      </c>
      <c r="AE99" t="s">
        <v>91</v>
      </c>
      <c r="AF99" t="s">
        <v>79</v>
      </c>
      <c r="AG99" t="s">
        <v>91</v>
      </c>
      <c r="AH99" t="s">
        <v>79</v>
      </c>
      <c r="AI99" t="s">
        <v>80</v>
      </c>
      <c r="AJ99" t="s">
        <v>80</v>
      </c>
      <c r="AK99" t="s">
        <v>80</v>
      </c>
      <c r="AL99" t="s">
        <v>80</v>
      </c>
      <c r="AM99" t="s">
        <v>80</v>
      </c>
      <c r="AN99" t="s">
        <v>80</v>
      </c>
      <c r="AO99" t="s">
        <v>80</v>
      </c>
      <c r="AP99" t="s">
        <v>77</v>
      </c>
      <c r="AR99" t="s">
        <v>774</v>
      </c>
      <c r="AS99" t="s">
        <v>79</v>
      </c>
      <c r="AT99" t="s">
        <v>91</v>
      </c>
      <c r="AU99" t="s">
        <v>80</v>
      </c>
      <c r="AV99" t="s">
        <v>80</v>
      </c>
      <c r="AW99" t="s">
        <v>80</v>
      </c>
      <c r="AX99" t="s">
        <v>80</v>
      </c>
      <c r="AY99" t="s">
        <v>80</v>
      </c>
      <c r="AZ99" t="s">
        <v>80</v>
      </c>
      <c r="BA99" t="s">
        <v>80</v>
      </c>
      <c r="BB99" t="s">
        <v>80</v>
      </c>
      <c r="BC99" t="s">
        <v>80</v>
      </c>
      <c r="BD99" t="s">
        <v>80</v>
      </c>
      <c r="BE99" t="s">
        <v>80</v>
      </c>
      <c r="BF99" t="s">
        <v>80</v>
      </c>
      <c r="BG99" t="s">
        <v>80</v>
      </c>
      <c r="BH99" t="s">
        <v>92</v>
      </c>
      <c r="BI99" t="s">
        <v>740</v>
      </c>
      <c r="BJ99">
        <f t="shared" si="30"/>
        <v>8</v>
      </c>
      <c r="BK99">
        <f t="shared" si="33"/>
        <v>2</v>
      </c>
      <c r="BL99">
        <v>8</v>
      </c>
      <c r="BM99">
        <v>2</v>
      </c>
      <c r="BN99" t="b">
        <f t="shared" si="20"/>
        <v>1</v>
      </c>
      <c r="BO99" t="b">
        <f t="shared" si="21"/>
        <v>1</v>
      </c>
      <c r="BP99" t="b">
        <f t="shared" si="22"/>
        <v>0</v>
      </c>
      <c r="BQ99" t="b">
        <v>0</v>
      </c>
      <c r="BR99">
        <f t="shared" si="23"/>
        <v>0.25</v>
      </c>
      <c r="BS99">
        <f t="shared" si="24"/>
        <v>0.5</v>
      </c>
    </row>
    <row r="100" spans="1:71" ht="20" customHeight="1" x14ac:dyDescent="0.2">
      <c r="A100" t="s">
        <v>776</v>
      </c>
      <c r="B100" s="1">
        <v>45791.855057870373</v>
      </c>
      <c r="C100" s="1">
        <v>45791.882349537038</v>
      </c>
      <c r="D100" t="s">
        <v>68</v>
      </c>
      <c r="E100" t="s">
        <v>775</v>
      </c>
      <c r="F100">
        <v>100</v>
      </c>
      <c r="G100">
        <v>2357</v>
      </c>
      <c r="H100" t="b">
        <v>1</v>
      </c>
      <c r="I100" s="1">
        <v>45791.882349537038</v>
      </c>
      <c r="J100" t="s">
        <v>776</v>
      </c>
      <c r="O100">
        <v>33.955800000000004</v>
      </c>
      <c r="P100">
        <v>-118.38930000000001</v>
      </c>
      <c r="Q100" t="s">
        <v>71</v>
      </c>
      <c r="R100" t="s">
        <v>72</v>
      </c>
      <c r="S100" t="s">
        <v>777</v>
      </c>
      <c r="T100" s="2" t="s">
        <v>778</v>
      </c>
      <c r="U100" s="2" t="s">
        <v>779</v>
      </c>
      <c r="V100" t="s">
        <v>76</v>
      </c>
      <c r="W100" t="s">
        <v>780</v>
      </c>
      <c r="X100" t="s">
        <v>77</v>
      </c>
      <c r="Z100" t="s">
        <v>781</v>
      </c>
      <c r="AA100" t="s">
        <v>91</v>
      </c>
      <c r="AB100" t="s">
        <v>80</v>
      </c>
      <c r="AC100" t="s">
        <v>80</v>
      </c>
      <c r="AD100" t="s">
        <v>80</v>
      </c>
      <c r="AE100" t="s">
        <v>80</v>
      </c>
      <c r="AF100" t="s">
        <v>80</v>
      </c>
      <c r="AG100" t="s">
        <v>80</v>
      </c>
      <c r="AH100" t="s">
        <v>80</v>
      </c>
      <c r="AI100" t="s">
        <v>80</v>
      </c>
      <c r="AJ100" t="s">
        <v>80</v>
      </c>
      <c r="AK100" t="s">
        <v>80</v>
      </c>
      <c r="AL100" t="s">
        <v>80</v>
      </c>
      <c r="AM100" t="s">
        <v>80</v>
      </c>
      <c r="AN100" t="s">
        <v>80</v>
      </c>
      <c r="AO100" t="s">
        <v>80</v>
      </c>
      <c r="AP100" t="s">
        <v>77</v>
      </c>
      <c r="AR100" t="s">
        <v>782</v>
      </c>
      <c r="AS100" t="s">
        <v>79</v>
      </c>
      <c r="AT100" t="s">
        <v>79</v>
      </c>
      <c r="AU100" t="s">
        <v>79</v>
      </c>
      <c r="AV100" t="s">
        <v>79</v>
      </c>
      <c r="AW100" t="s">
        <v>79</v>
      </c>
      <c r="AX100" t="s">
        <v>79</v>
      </c>
      <c r="AY100" t="s">
        <v>79</v>
      </c>
      <c r="AZ100" t="s">
        <v>79</v>
      </c>
      <c r="BA100" t="s">
        <v>79</v>
      </c>
      <c r="BB100" t="s">
        <v>80</v>
      </c>
      <c r="BC100" t="s">
        <v>80</v>
      </c>
      <c r="BD100" t="s">
        <v>80</v>
      </c>
      <c r="BE100" t="s">
        <v>80</v>
      </c>
      <c r="BF100" t="s">
        <v>80</v>
      </c>
      <c r="BG100" t="s">
        <v>80</v>
      </c>
      <c r="BH100" t="s">
        <v>82</v>
      </c>
      <c r="BI100" t="s">
        <v>777</v>
      </c>
      <c r="BJ100">
        <f t="shared" si="30"/>
        <v>1</v>
      </c>
      <c r="BK100">
        <f>COUNTIF(AS100:BG100, "Correct") + COUNTIF(AS100:BG100, "Incorrect")</f>
        <v>9</v>
      </c>
      <c r="BL100">
        <v>1</v>
      </c>
      <c r="BM100">
        <v>9</v>
      </c>
      <c r="BN100" t="b">
        <f t="shared" si="20"/>
        <v>1</v>
      </c>
      <c r="BO100" t="b">
        <f t="shared" si="21"/>
        <v>1</v>
      </c>
      <c r="BP100" t="b">
        <f t="shared" si="22"/>
        <v>0</v>
      </c>
      <c r="BQ100" t="b">
        <v>0</v>
      </c>
      <c r="BR100">
        <f t="shared" si="23"/>
        <v>0</v>
      </c>
      <c r="BS100">
        <f t="shared" si="24"/>
        <v>1</v>
      </c>
    </row>
    <row r="101" spans="1:71" ht="20" customHeight="1" x14ac:dyDescent="0.2">
      <c r="A101" t="s">
        <v>784</v>
      </c>
      <c r="B101" s="1">
        <v>45791.835011574076</v>
      </c>
      <c r="C101" s="1">
        <v>45791.887175925927</v>
      </c>
      <c r="D101" t="s">
        <v>68</v>
      </c>
      <c r="E101" t="s">
        <v>783</v>
      </c>
      <c r="F101">
        <v>100</v>
      </c>
      <c r="G101">
        <v>4507</v>
      </c>
      <c r="H101" t="b">
        <v>1</v>
      </c>
      <c r="I101" s="1">
        <v>45791.887187499997</v>
      </c>
      <c r="J101" t="s">
        <v>784</v>
      </c>
      <c r="O101">
        <v>35.249699999999997</v>
      </c>
      <c r="P101">
        <v>-81.136899999999997</v>
      </c>
      <c r="Q101" t="s">
        <v>71</v>
      </c>
      <c r="R101" t="s">
        <v>72</v>
      </c>
      <c r="S101" t="s">
        <v>785</v>
      </c>
      <c r="T101" t="s">
        <v>786</v>
      </c>
      <c r="U101" t="s">
        <v>787</v>
      </c>
      <c r="V101" t="s">
        <v>76</v>
      </c>
      <c r="X101" t="s">
        <v>77</v>
      </c>
      <c r="Z101" t="s">
        <v>788</v>
      </c>
      <c r="AA101" t="s">
        <v>79</v>
      </c>
      <c r="AB101" t="s">
        <v>79</v>
      </c>
      <c r="AC101" t="s">
        <v>91</v>
      </c>
      <c r="AD101" t="s">
        <v>80</v>
      </c>
      <c r="AE101" t="s">
        <v>80</v>
      </c>
      <c r="AF101" t="s">
        <v>80</v>
      </c>
      <c r="AG101" t="s">
        <v>80</v>
      </c>
      <c r="AH101" t="s">
        <v>80</v>
      </c>
      <c r="AI101" t="s">
        <v>80</v>
      </c>
      <c r="AJ101" t="s">
        <v>80</v>
      </c>
      <c r="AK101" t="s">
        <v>80</v>
      </c>
      <c r="AL101" t="s">
        <v>80</v>
      </c>
      <c r="AM101" t="s">
        <v>80</v>
      </c>
      <c r="AN101" t="s">
        <v>80</v>
      </c>
      <c r="AO101" t="s">
        <v>80</v>
      </c>
      <c r="AP101" t="s">
        <v>77</v>
      </c>
      <c r="AR101" t="s">
        <v>789</v>
      </c>
      <c r="AS101" t="s">
        <v>79</v>
      </c>
      <c r="AT101" t="s">
        <v>79</v>
      </c>
      <c r="AU101" t="s">
        <v>91</v>
      </c>
      <c r="AV101" t="s">
        <v>79</v>
      </c>
      <c r="AW101" t="s">
        <v>79</v>
      </c>
      <c r="AX101" t="s">
        <v>79</v>
      </c>
      <c r="AY101" t="s">
        <v>79</v>
      </c>
      <c r="AZ101" t="s">
        <v>80</v>
      </c>
      <c r="BA101" t="s">
        <v>80</v>
      </c>
      <c r="BB101" t="s">
        <v>80</v>
      </c>
      <c r="BC101" t="s">
        <v>80</v>
      </c>
      <c r="BD101" t="s">
        <v>80</v>
      </c>
      <c r="BE101" t="s">
        <v>80</v>
      </c>
      <c r="BF101" t="s">
        <v>80</v>
      </c>
      <c r="BG101" t="s">
        <v>80</v>
      </c>
      <c r="BH101" t="s">
        <v>82</v>
      </c>
      <c r="BI101" t="s">
        <v>785</v>
      </c>
      <c r="BJ101">
        <f t="shared" si="30"/>
        <v>3</v>
      </c>
      <c r="BK101">
        <f>COUNTIF(AS101:BG101, "Correct") + COUNTIF(AS101:BG101, "Incorrect")</f>
        <v>7</v>
      </c>
      <c r="BL101">
        <v>3</v>
      </c>
      <c r="BM101">
        <v>7</v>
      </c>
      <c r="BN101" t="b">
        <f t="shared" si="20"/>
        <v>1</v>
      </c>
      <c r="BO101" t="b">
        <f t="shared" si="21"/>
        <v>1</v>
      </c>
      <c r="BP101" t="b">
        <f t="shared" si="22"/>
        <v>0</v>
      </c>
      <c r="BQ101" t="b">
        <v>0</v>
      </c>
      <c r="BR101">
        <f t="shared" si="23"/>
        <v>0.66666666666666663</v>
      </c>
      <c r="BS101">
        <f t="shared" si="24"/>
        <v>0.8571428571428571</v>
      </c>
    </row>
    <row r="102" spans="1:71" ht="20" customHeight="1" x14ac:dyDescent="0.2">
      <c r="A102" t="s">
        <v>791</v>
      </c>
      <c r="B102" s="1">
        <v>45791.883564814816</v>
      </c>
      <c r="C102" s="1">
        <v>45791.901979166665</v>
      </c>
      <c r="D102" t="s">
        <v>68</v>
      </c>
      <c r="E102" t="s">
        <v>790</v>
      </c>
      <c r="F102">
        <v>100</v>
      </c>
      <c r="G102">
        <v>1590</v>
      </c>
      <c r="H102" t="b">
        <v>1</v>
      </c>
      <c r="I102" s="1">
        <v>45791.901990740742</v>
      </c>
      <c r="J102" t="s">
        <v>791</v>
      </c>
      <c r="O102">
        <v>43.368200000000002</v>
      </c>
      <c r="P102">
        <v>-83.583799999999997</v>
      </c>
      <c r="Q102" t="s">
        <v>71</v>
      </c>
      <c r="R102" t="s">
        <v>72</v>
      </c>
      <c r="S102" t="s">
        <v>792</v>
      </c>
      <c r="T102" t="s">
        <v>793</v>
      </c>
      <c r="U102" t="s">
        <v>708</v>
      </c>
      <c r="V102" t="s">
        <v>76</v>
      </c>
      <c r="W102" t="s">
        <v>794</v>
      </c>
      <c r="X102" t="s">
        <v>77</v>
      </c>
      <c r="Z102" t="s">
        <v>795</v>
      </c>
      <c r="AA102" t="s">
        <v>79</v>
      </c>
      <c r="AB102" t="s">
        <v>79</v>
      </c>
      <c r="AC102" t="s">
        <v>79</v>
      </c>
      <c r="AD102" t="s">
        <v>91</v>
      </c>
      <c r="AE102" t="s">
        <v>79</v>
      </c>
      <c r="AF102" t="s">
        <v>91</v>
      </c>
      <c r="AG102" t="s">
        <v>80</v>
      </c>
      <c r="AH102" t="s">
        <v>80</v>
      </c>
      <c r="AI102" t="s">
        <v>80</v>
      </c>
      <c r="AJ102" t="s">
        <v>80</v>
      </c>
      <c r="AK102" t="s">
        <v>80</v>
      </c>
      <c r="AL102" t="s">
        <v>80</v>
      </c>
      <c r="AM102" t="s">
        <v>80</v>
      </c>
      <c r="AN102" t="s">
        <v>80</v>
      </c>
      <c r="AO102" t="s">
        <v>80</v>
      </c>
      <c r="AP102" t="s">
        <v>77</v>
      </c>
      <c r="AR102" t="s">
        <v>796</v>
      </c>
      <c r="AS102" t="s">
        <v>91</v>
      </c>
      <c r="AT102" t="s">
        <v>91</v>
      </c>
      <c r="AU102" t="s">
        <v>91</v>
      </c>
      <c r="AV102" t="s">
        <v>79</v>
      </c>
      <c r="AW102" t="s">
        <v>79</v>
      </c>
      <c r="AX102" t="s">
        <v>79</v>
      </c>
      <c r="AY102" t="s">
        <v>79</v>
      </c>
      <c r="AZ102" t="s">
        <v>91</v>
      </c>
      <c r="BA102" t="s">
        <v>80</v>
      </c>
      <c r="BB102" t="s">
        <v>80</v>
      </c>
      <c r="BC102" t="s">
        <v>80</v>
      </c>
      <c r="BD102" t="s">
        <v>80</v>
      </c>
      <c r="BE102" t="s">
        <v>80</v>
      </c>
      <c r="BF102" t="s">
        <v>80</v>
      </c>
      <c r="BG102" t="s">
        <v>80</v>
      </c>
      <c r="BH102" t="s">
        <v>92</v>
      </c>
      <c r="BI102" t="s">
        <v>792</v>
      </c>
      <c r="BJ102">
        <f t="shared" si="30"/>
        <v>6</v>
      </c>
      <c r="BK102">
        <f t="shared" ref="BK102:BK103" si="34">COUNTIF(AS102:BG102, "Correct") + COUNTIF(AS102:BG102, "Incorrect")</f>
        <v>8</v>
      </c>
      <c r="BL102">
        <v>6</v>
      </c>
      <c r="BM102">
        <v>8</v>
      </c>
      <c r="BN102" t="b">
        <f t="shared" si="20"/>
        <v>1</v>
      </c>
      <c r="BO102" t="b">
        <f t="shared" si="21"/>
        <v>1</v>
      </c>
      <c r="BP102" t="b">
        <f t="shared" si="22"/>
        <v>0</v>
      </c>
      <c r="BQ102" t="b">
        <v>0</v>
      </c>
      <c r="BR102">
        <f t="shared" si="23"/>
        <v>0.66666666666666663</v>
      </c>
      <c r="BS102">
        <f t="shared" si="24"/>
        <v>0.5</v>
      </c>
    </row>
    <row r="103" spans="1:71" ht="20" customHeight="1" x14ac:dyDescent="0.2">
      <c r="A103" t="s">
        <v>798</v>
      </c>
      <c r="B103" s="1">
        <v>45791.888437499998</v>
      </c>
      <c r="C103" s="1">
        <v>45791.934513888889</v>
      </c>
      <c r="D103" t="s">
        <v>68</v>
      </c>
      <c r="E103" t="s">
        <v>797</v>
      </c>
      <c r="F103">
        <v>100</v>
      </c>
      <c r="G103">
        <v>3980</v>
      </c>
      <c r="H103" t="b">
        <v>1</v>
      </c>
      <c r="I103" s="1">
        <v>45791.934525462966</v>
      </c>
      <c r="J103" t="s">
        <v>798</v>
      </c>
      <c r="O103">
        <v>49.331000000000003</v>
      </c>
      <c r="P103">
        <v>-123.1437</v>
      </c>
      <c r="Q103" t="s">
        <v>71</v>
      </c>
      <c r="R103" t="s">
        <v>72</v>
      </c>
      <c r="S103" t="s">
        <v>799</v>
      </c>
      <c r="T103" t="s">
        <v>800</v>
      </c>
      <c r="U103" t="s">
        <v>801</v>
      </c>
      <c r="V103" t="s">
        <v>76</v>
      </c>
      <c r="W103" t="s">
        <v>802</v>
      </c>
      <c r="X103" t="s">
        <v>77</v>
      </c>
      <c r="Z103" t="s">
        <v>803</v>
      </c>
      <c r="AA103" t="s">
        <v>91</v>
      </c>
      <c r="AB103" t="s">
        <v>79</v>
      </c>
      <c r="AC103" t="s">
        <v>79</v>
      </c>
      <c r="AD103" t="s">
        <v>91</v>
      </c>
      <c r="AE103" t="s">
        <v>91</v>
      </c>
      <c r="AF103" t="s">
        <v>79</v>
      </c>
      <c r="AG103" t="s">
        <v>79</v>
      </c>
      <c r="AH103" t="s">
        <v>79</v>
      </c>
      <c r="AI103" t="s">
        <v>79</v>
      </c>
      <c r="AJ103" t="s">
        <v>80</v>
      </c>
      <c r="AK103" t="s">
        <v>80</v>
      </c>
      <c r="AL103" t="s">
        <v>80</v>
      </c>
      <c r="AM103" t="s">
        <v>80</v>
      </c>
      <c r="AN103" t="s">
        <v>80</v>
      </c>
      <c r="AO103" t="s">
        <v>80</v>
      </c>
      <c r="AP103" t="s">
        <v>77</v>
      </c>
      <c r="AR103" t="s">
        <v>804</v>
      </c>
      <c r="AS103" t="s">
        <v>79</v>
      </c>
      <c r="AT103" t="s">
        <v>79</v>
      </c>
      <c r="AU103" t="s">
        <v>79</v>
      </c>
      <c r="AV103" t="s">
        <v>79</v>
      </c>
      <c r="AW103" t="s">
        <v>91</v>
      </c>
      <c r="AX103" t="s">
        <v>91</v>
      </c>
      <c r="AY103" t="s">
        <v>91</v>
      </c>
      <c r="AZ103" t="s">
        <v>91</v>
      </c>
      <c r="BA103" t="s">
        <v>91</v>
      </c>
      <c r="BB103" t="s">
        <v>79</v>
      </c>
      <c r="BC103" t="s">
        <v>79</v>
      </c>
      <c r="BD103" t="s">
        <v>91</v>
      </c>
      <c r="BE103" t="s">
        <v>80</v>
      </c>
      <c r="BF103" t="s">
        <v>80</v>
      </c>
      <c r="BG103" t="s">
        <v>80</v>
      </c>
      <c r="BH103" t="s">
        <v>82</v>
      </c>
      <c r="BI103" t="s">
        <v>799</v>
      </c>
      <c r="BJ103">
        <f t="shared" si="30"/>
        <v>9</v>
      </c>
      <c r="BK103">
        <f t="shared" si="34"/>
        <v>12</v>
      </c>
      <c r="BL103">
        <v>9</v>
      </c>
      <c r="BM103">
        <v>12</v>
      </c>
      <c r="BN103" t="b">
        <f t="shared" si="20"/>
        <v>1</v>
      </c>
      <c r="BO103" t="b">
        <f t="shared" si="21"/>
        <v>1</v>
      </c>
      <c r="BP103" t="b">
        <f t="shared" si="22"/>
        <v>0</v>
      </c>
      <c r="BQ103" t="b">
        <v>0</v>
      </c>
      <c r="BR103">
        <f t="shared" si="23"/>
        <v>0.66666666666666663</v>
      </c>
      <c r="BS103">
        <f t="shared" si="24"/>
        <v>0.5</v>
      </c>
    </row>
  </sheetData>
  <conditionalFormatting sqref="BR1:BS1 B1:BQ103">
    <cfRule type="beginsWith" dxfId="4" priority="4" operator="beginsWith" text="incorrect">
      <formula>LEFT(B1,LEN("incorrect"))="incorrect"</formula>
    </cfRule>
    <cfRule type="beginsWith" dxfId="3" priority="5" stopIfTrue="1" operator="beginsWith" text="Correct">
      <formula>LEFT(B1,LEN("Correct"))="Correct"</formula>
    </cfRule>
  </conditionalFormatting>
  <conditionalFormatting sqref="BP1:BP1048576">
    <cfRule type="containsText" dxfId="2" priority="3" operator="containsText" text="TRUE">
      <formula>NOT(ISERROR(SEARCH("TRUE",BP1)))</formula>
    </cfRule>
  </conditionalFormatting>
  <conditionalFormatting sqref="A1:A103">
    <cfRule type="beginsWith" dxfId="1" priority="1" operator="beginsWith" text="incorrect">
      <formula>LEFT(A1,LEN("incorrect"))="incorrect"</formula>
    </cfRule>
    <cfRule type="beginsWith" dxfId="0" priority="2" stopIfTrue="1" operator="beginsWith" text="Correct">
      <formula>LEFT(A1,LEN("Correct"))="Correct"</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ProlificBrowserArenaGIFFeedback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Sagnik Anupam</dc:creator>
  <cp:lastModifiedBy>Sagnik Anupam</cp:lastModifiedBy>
  <dcterms:created xsi:type="dcterms:W3CDTF">2025-05-15T14:33:49Z</dcterms:created>
  <dcterms:modified xsi:type="dcterms:W3CDTF">2025-05-15T17:44:30Z</dcterms:modified>
</cp:coreProperties>
</file>